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583c7a3d8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e58d9976394576"/>
    <x:sheet xmlns:r="http://schemas.openxmlformats.org/officeDocument/2006/relationships" name="Assumptions" sheetId="2" r:id="R458aca934dd14c55"/>
    <x:sheet xmlns:r="http://schemas.openxmlformats.org/officeDocument/2006/relationships" name="Gantt" sheetId="3" r:id="R8d71cc87e1fd4fbe"/>
    <x:sheet xmlns:r="http://schemas.openxmlformats.org/officeDocument/2006/relationships" name="CBA Scenarios" sheetId="4" r:id="R030334377c33469f"/>
    <x:sheet xmlns:r="http://schemas.openxmlformats.org/officeDocument/2006/relationships" name="Impact Value" sheetId="5" r:id="R2fa4a9a5177442c5"/>
    <x:sheet xmlns:r="http://schemas.openxmlformats.org/officeDocument/2006/relationships" name="Checks Sources" sheetId="6" r:id="Rd6f3951636ba4998"/>
    <x:sheet xmlns:r="http://schemas.openxmlformats.org/officeDocument/2006/relationships" name="Phase Costs" sheetId="7" r:id="R6d9ab5488ddb42f4"/>
    <x:sheet xmlns:r="http://schemas.openxmlformats.org/officeDocument/2006/relationships" name="Dated Cash Flow" sheetId="8" r:id="Re83626aa84e6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3">
    <x:numFmt numFmtId="200" formatCode="yyyy-mm-dd"/>
    <x:numFmt numFmtId="201" formatCode="0.0%"/>
    <x:numFmt numFmtId="202" formatCode="# ,##0"/>
    <x:numFmt numFmtId="203" formatCode="$#,##0.00"/>
    <x:numFmt numFmtId="204" formatCode="$#,##0"/>
    <x:numFmt numFmtId="205" formatCode="$0.000"/>
    <x:numFmt numFmtId="206" formatCode="0%"/>
    <x:numFmt numFmtId="207" formatCode="dd-mmm-yy"/>
    <x:numFmt numFmtId="208" formatCode="dd-mmm"/>
    <x:numFmt numFmtId="209" formatCode="$0.000;($0.000)"/>
    <x:numFmt numFmtId="210" formatCode="0.0%;(0.0%)"/>
    <x:numFmt numFmtId="211" formatCode="0.0"/>
    <x:numFmt numFmtId="212" formatCode="$0.00"/>
    <x:numFmt numFmtId="213" formatCode="0.000"/>
    <x:numFmt numFmtId="214" formatCode="$0.000000"/>
    <x:numFmt numFmtId="215" formatCode="$0.0000"/>
    <x:numFmt numFmtId="216" formatCode="mmm-yy"/>
    <x:numFmt numFmtId="217" formatCode="0.000;(0.000)"/>
    <x:numFmt numFmtId="218" formatCode="0.000000;(0.000000)"/>
    <x:numFmt numFmtId="219" formatCode="dd-mmm-yyyy"/>
    <x:numFmt numFmtId="220" formatCode="0.00"/>
    <x:numFmt numFmtId="221" formatCode="0.000000000"/>
    <x:numFmt numFmtId="222" formatCode="0.0E+00"/>
  </x:numFmts>
  <x:fonts count="11">
    <x:font>
      <x:sz val="11"/>
      <x:name val="Carlito"/>
    </x:font>
    <x:font>
      <x:b/>
      <x:sz val="18"/>
      <x:color rgb="FFFFFFFF"/>
      <x:name val="Arial"/>
    </x:font>
    <x:font>
      <x:i/>
      <x:sz val="10"/>
      <x:color rgb="FF222222"/>
      <x:name val="Arial"/>
    </x:font>
    <x:font>
      <x:b/>
      <x:sz val="11"/>
      <x:color rgb="FFFFFFFF"/>
      <x:name val="Arial"/>
    </x:font>
    <x:font>
      <x:sz val="10"/>
      <x:color rgb="FF222222"/>
      <x:name val="Arial"/>
    </x:font>
    <x:font>
      <x:sz val="10"/>
      <x:color rgb="FF0000FF"/>
      <x:name val="Arial"/>
    </x:font>
    <x:font>
      <x:b/>
      <x:sz val="12"/>
      <x:color rgb="FF17365D"/>
      <x:name val="Arial"/>
    </x:font>
    <x:font>
      <x:sz val="10"/>
      <x:color rgb="FF008000"/>
      <x:name val="Arial"/>
    </x:font>
    <x:font>
      <x:b/>
      <x:sz val="11"/>
      <x:color rgb="FF4472C4"/>
      <x:name val="Arial"/>
    </x:font>
    <x:font>
      <x:sz val="11"/>
      <x:color rgb="FF0000FF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FFFBEA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200" fontId="5" fillId="5" borderId="2" xfId="0" applyNumberFormat="1" applyFont="1" applyFill="1" applyBorder="1" applyAlignment="1">
      <x:alignment vertical="top" wrapText="1"/>
    </x:xf>
    <x:xf numFmtId="201" fontId="5" fillId="5" borderId="2" xfId="0" applyNumberFormat="1" applyFont="1" applyFill="1" applyBorder="1" applyAlignment="1">
      <x:alignment vertical="top" wrapText="1"/>
    </x:xf>
    <x:xf numFmtId="202" fontId="5" fillId="5" borderId="2" xfId="0" applyNumberFormat="1" applyFont="1" applyFill="1" applyBorder="1" applyAlignment="1">
      <x:alignment vertical="top" wrapText="1"/>
    </x:xf>
    <x:xf numFmtId="203" fontId="5" fillId="5" borderId="2" xfId="0" applyNumberFormat="1" applyFont="1" applyFill="1" applyBorder="1" applyAlignment="1">
      <x:alignment vertical="top" wrapText="1"/>
    </x:xf>
    <x:xf numFmtId="204" fontId="5" fillId="5" borderId="2" xfId="0" applyNumberFormat="1" applyFont="1" applyFill="1" applyBorder="1" applyAlignment="1">
      <x:alignment vertical="top" wrapText="1"/>
    </x:xf>
    <x:xf numFmtId="205" fontId="5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6" fontId="5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206" fontId="7" fillId="5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7" fontId="7" fillId="0" borderId="2" xfId="0" applyNumberFormat="1" applyFont="1" applyFill="1" applyBorder="1" applyAlignment="1">
      <x:alignment vertical="top" wrapText="1"/>
    </x:xf>
    <x:xf numFmtId="208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/>
    </x:xf>
    <x:xf numFmtId="208" fontId="0" fillId="4" borderId="0" xfId="0" applyNumberFormat="1" applyFont="1" applyFill="1" applyBorder="1"/>
    <x:xf numFmtId="208" fontId="3" fillId="4" borderId="0" xfId="0" applyNumberFormat="1" applyFont="1" applyFill="1" applyBorder="1"/>
    <x:xf numFmtId="208" fontId="3" fillId="4" borderId="0" xfId="0" applyNumberFormat="1" applyFont="1" applyFill="1" applyBorder="1" applyAlignment="1">
      <x:alignment vertical="center"/>
    </x:xf>
    <x:xf numFmtId="208" fontId="3" fillId="4" borderId="0" xfId="0" applyNumberFormat="1" applyFont="1" applyFill="1" applyBorder="1" applyAlignment="1">
      <x:alignment vertical="center" wrapText="1"/>
    </x:xf>
    <x:xf numFmtId="208" fontId="3" fillId="4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/>
    </x:xf>
    <x:xf numFmtId="0" fontId="8" fillId="7" borderId="3" xfId="0" applyNumberFormat="1" applyFont="1" applyFill="1" applyBorder="1" applyAlignment="1">
      <x:alignment horizontal="center"/>
    </x:xf>
    <x:xf numFmtId="207" fontId="4" fillId="0" borderId="2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206" fontId="4" fillId="5" borderId="2" xfId="0" applyNumberFormat="1" applyFont="1" applyFill="1" applyBorder="1" applyAlignment="1">
      <x:alignment vertical="top" wrapText="1"/>
    </x:xf>
    <x:xf numFmtId="202" fontId="7" fillId="0" borderId="2" xfId="0" applyNumberFormat="1" applyFont="1" applyFill="1" applyBorder="1" applyAlignment="1">
      <x:alignment vertical="top" wrapText="1"/>
    </x:xf>
    <x:xf numFmtId="209" fontId="7" fillId="0" borderId="2" xfId="0" applyNumberFormat="1" applyFont="1" applyFill="1" applyBorder="1" applyAlignment="1">
      <x:alignment vertical="top" wrapText="1"/>
    </x:xf>
    <x:xf numFmtId="210" fontId="7" fillId="0" borderId="2" xfId="0" applyNumberFormat="1" applyFont="1" applyFill="1" applyBorder="1" applyAlignment="1">
      <x:alignment vertical="top" wrapText="1"/>
    </x:xf>
    <x:xf numFmtId="201" fontId="7" fillId="0" borderId="2" xfId="0" applyNumberFormat="1" applyFont="1" applyFill="1" applyBorder="1" applyAlignment="1">
      <x:alignment vertical="top" wrapText="1"/>
    </x:xf>
    <x:xf numFmtId="211" fontId="7" fillId="0" borderId="2" xfId="0" applyNumberFormat="1" applyFont="1" applyFill="1" applyBorder="1" applyAlignment="1">
      <x:alignment vertical="top" wrapText="1"/>
    </x:xf>
    <x:xf numFmtId="212" fontId="5" fillId="5" borderId="2" xfId="0" applyNumberFormat="1" applyFont="1" applyFill="1" applyBorder="1" applyAlignment="1">
      <x:alignment vertical="top" wrapText="1"/>
    </x:xf>
    <x:xf numFmtId="213" fontId="4" fillId="0" borderId="2" xfId="0" applyNumberFormat="1" applyFont="1" applyFill="1" applyBorder="1" applyAlignment="1">
      <x:alignment vertical="top" wrapText="1"/>
    </x:xf>
    <x:xf numFmtId="213" fontId="7" fillId="0" borderId="2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209" fontId="4" fillId="0" borderId="2" xfId="0" applyNumberFormat="1" applyFont="1" applyFill="1" applyBorder="1" applyAlignment="1">
      <x:alignment vertical="top" wrapText="1"/>
    </x:xf>
    <x:xf numFmtId="209" fontId="5" fillId="0" borderId="2" xfId="0" applyNumberFormat="1" applyFont="1" applyFill="1" applyBorder="1" applyAlignment="1">
      <x:alignment vertical="top" wrapText="1"/>
    </x:xf>
    <x:xf numFmtId="209" fontId="5" fillId="5" borderId="2" xfId="0" applyNumberFormat="1" applyFont="1" applyFill="1" applyBorder="1" applyAlignment="1">
      <x:alignment vertical="top" wrapText="1"/>
    </x:xf>
    <x:xf numFmtId="205" fontId="7" fillId="5" borderId="2" xfId="0" applyNumberFormat="1" applyFont="1" applyFill="1" applyBorder="1" applyAlignment="1">
      <x:alignment vertical="top" wrapText="1"/>
    </x:xf>
    <x:xf numFmtId="214" fontId="4" fillId="0" borderId="2" xfId="0" applyNumberFormat="1" applyFont="1" applyFill="1" applyBorder="1" applyAlignment="1">
      <x:alignment vertical="top" wrapText="1"/>
    </x:xf>
    <x:xf numFmtId="215" fontId="4" fillId="0" borderId="2" xfId="0" applyNumberFormat="1" applyFont="1" applyFill="1" applyBorder="1" applyAlignment="1">
      <x:alignment vertical="top" wrapText="1"/>
    </x:xf>
    <x:xf numFmtId="207" fontId="5" fillId="0" borderId="2" xfId="0" applyNumberFormat="1" applyFont="1" applyFill="1" applyBorder="1" applyAlignment="1">
      <x:alignment vertical="top" wrapText="1"/>
    </x:xf>
    <x:xf numFmtId="207" fontId="5" fillId="5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216" fontId="10" fillId="4" borderId="1" xfId="0" applyNumberFormat="1" applyFont="1" applyFill="1" applyBorder="1" applyAlignment="1">
      <x:alignment vertical="center" wrapText="1"/>
    </x:xf>
    <x:xf numFmtId="207" fontId="10" fillId="4" borderId="1" xfId="0" applyNumberFormat="1" applyFont="1" applyFill="1" applyBorder="1" applyAlignment="1">
      <x:alignment vertical="center" wrapText="1"/>
    </x:xf>
    <x:xf numFmtId="217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217" fontId="4" fillId="6" borderId="2" xfId="0" applyNumberFormat="1" applyFont="1" applyFill="1" applyBorder="1" applyAlignment="1">
      <x:alignment vertical="top" wrapText="1"/>
    </x:xf>
    <x:xf numFmtId="217" fontId="7" fillId="0" borderId="2" xfId="0" applyNumberFormat="1" applyFont="1" applyFill="1" applyBorder="1" applyAlignment="1">
      <x:alignment vertical="top" wrapText="1"/>
    </x:xf>
    <x:xf numFmtId="218" fontId="4" fillId="0" borderId="2" xfId="0" applyNumberFormat="1" applyFont="1" applyFill="1" applyBorder="1" applyAlignment="1">
      <x:alignment vertical="top" wrapText="1"/>
    </x:xf>
    <x:xf numFmtId="218" fontId="0" fillId="0" borderId="0" xfId="0" applyNumberFormat="1" applyFont="1" applyFill="1" applyBorder="1"/>
    <x:xf numFmtId="218" fontId="3" fillId="4" borderId="1" xfId="0" applyNumberFormat="1" applyFont="1" applyFill="1" applyBorder="1" applyAlignment="1">
      <x:alignment vertical="center" wrapText="1"/>
    </x:xf>
    <x:xf numFmtId="219" fontId="7" fillId="0" borderId="2" xfId="0" applyNumberFormat="1" applyFont="1" applyFill="1" applyBorder="1" applyAlignment="1">
      <x:alignment vertical="top" wrapText="1"/>
    </x:xf>
    <x:xf numFmtId="220" fontId="7" fillId="0" borderId="2" xfId="0" applyNumberFormat="1" applyFont="1" applyFill="1" applyBorder="1" applyAlignment="1">
      <x:alignment vertical="top" wrapText="1"/>
    </x:xf>
    <x:xf numFmtId="220" fontId="4" fillId="0" borderId="2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221" fontId="4" fillId="0" borderId="2" xfId="0" applyNumberFormat="1" applyFont="1" applyFill="1" applyBorder="1" applyAlignment="1">
      <x:alignment vertical="top" wrapText="1"/>
    </x:xf>
    <x:xf numFmtId="222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4472C4"/>
      </x:font>
      <x:fill>
        <x:patternFill>
          <x:bgColor rgb="FF4472C4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2f3b955c34a89" /><Relationship Type="http://schemas.openxmlformats.org/officeDocument/2006/relationships/theme" Target="/xl/theme/theme1.xml" Id="R100e0cf82e9f474f" /><Relationship Type="http://schemas.openxmlformats.org/officeDocument/2006/relationships/sharedStrings" Target="/xl/sharedStrings.xml" Id="Rc5ac51c77b0d4faf" /><Relationship Type="http://schemas.openxmlformats.org/officeDocument/2006/relationships/worksheet" Target="/xl/worksheets/sheet1.xml" Id="R2ee58d9976394576" /><Relationship Type="http://schemas.openxmlformats.org/officeDocument/2006/relationships/worksheet" Target="/xl/worksheets/sheet2.xml" Id="R458aca934dd14c55" /><Relationship Type="http://schemas.openxmlformats.org/officeDocument/2006/relationships/worksheet" Target="/xl/worksheets/sheet3.xml" Id="R8d71cc87e1fd4fbe" /><Relationship Type="http://schemas.openxmlformats.org/officeDocument/2006/relationships/worksheet" Target="/xl/worksheets/sheet4.xml" Id="R030334377c33469f" /><Relationship Type="http://schemas.openxmlformats.org/officeDocument/2006/relationships/worksheet" Target="/xl/worksheets/sheet5.xml" Id="R2fa4a9a5177442c5" /><Relationship Type="http://schemas.openxmlformats.org/officeDocument/2006/relationships/worksheet" Target="/xl/worksheets/sheet6.xml" Id="Rd6f3951636ba4998" /><Relationship Type="http://schemas.openxmlformats.org/officeDocument/2006/relationships/worksheet" Target="/xl/worksheets/sheet7.xml" Id="R6d9ab5488ddb42f4" /><Relationship Type="http://schemas.openxmlformats.org/officeDocument/2006/relationships/worksheet" Target="/xl/worksheets/sheet8.xml" Id="Re83626aa84e648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b4c8561c2148b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666571c55094d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Scenario NPV (NZ$m)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3-year NPV ($m)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'CBA Scenarios'!$A$13:$A$15</c:f>
              <c:strCache>
                <c:ptCount val="0"/>
              </c:strCache>
            </c:strRef>
          </c:cat>
          <c:val>
            <c:numRef>
              <c:f>'CBA Scenarios'!$M$13:$M$15</c:f>
              <c:numCache>
                <c:formatCode>$0.000;($0.000)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300">
                <a:latin typeface="Arial"/>
                <a:ea typeface="Arial"/>
                <a:cs typeface="Arial"/>
              </a:rPr>
              <a:t>Impact–Value Matrix: bubble area = cost (NZ$m)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300">
              <a:latin typeface="Arial"/>
              <a:ea typeface="Arial"/>
              <a:cs typeface="Arial"/>
            </a:defRPr>
          </a:pPr>
        </a:p>
      </c:txPr>
    </c:title>
    <c:plotArea>
      <c:bubbleChart>
        <c:bubbleScale val="60"/>
        <c:showNegBubbles val="0"/>
        <c:varyColors val="0"/>
        <c:sizeRepresents val="area"/>
        <c:ser>
          <c:idx val="0"/>
          <c:order val="0"/>
          <c:tx>
            <c:strRef>
              <c:f>'Impact Value'!$P$5</c:f>
              <c:strCache>
                <c:ptCount val="1"/>
                <c:pt idx="0">
                  <c:v>Instrumentation</c:v>
                </c:pt>
              </c:strCache>
            </c:strRef>
          </c:tx>
          <c:spPr>
            <a:solidFill xmlns:a="http://schemas.openxmlformats.org/drawingml/2006/main">
              <a:srgbClr val="008577">
                <a:alpha val="65000"/>
              </a:srgbClr>
            </a:solidFill>
            <a:ln xmlns:a="http://schemas.openxmlformats.org/drawingml/2006/main" w="12700">
              <a:solidFill>
                <a:srgbClr val="008577"/>
              </a:solidFill>
            </a:ln>
          </c:spPr>
          <c:dLbls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'Impact Value'!$Q$5</c:f>
              <c:numCache>
                <c:formatCode>0.00</c:formatCode>
                <c:ptCount val="1"/>
                <c:pt idx="0">
                  <c:v>3.25</c:v>
                </c:pt>
              </c:numCache>
            </c:numRef>
          </c:xVal>
          <c:yVal>
            <c:numRef>
              <c:f>'Impact Value'!$R$5</c:f>
              <c:numCache>
                <c:formatCode>0.00</c:formatCode>
                <c:ptCount val="1"/>
                <c:pt idx="0">
                  <c:v>3.5500000000000003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0.45</c:v>
              </c:pt>
            </c:numLit>
          </c:bubbleSize>
        </c:ser>
        <c:ser>
          <c:idx val="1"/>
          <c:order val="1"/>
          <c:tx>
            <c:strRef>
              <c:f>'Impact Value'!$P$6</c:f>
              <c:strCache>
                <c:ptCount val="1"/>
                <c:pt idx="0">
                  <c:v>PlanFit Core</c:v>
                </c:pt>
              </c:strCache>
            </c:strRef>
          </c:tx>
          <c:spPr>
            <a:solidFill xmlns:a="http://schemas.openxmlformats.org/drawingml/2006/main">
              <a:srgbClr val="17365D">
                <a:alpha val="65000"/>
              </a:srgbClr>
            </a:solidFill>
            <a:ln xmlns:a="http://schemas.openxmlformats.org/drawingml/2006/main" w="12700">
              <a:solidFill>
                <a:srgbClr val="17365D"/>
              </a:solidFill>
            </a:ln>
          </c:spPr>
          <c:dLbls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'Impact Value'!$Q$6</c:f>
              <c:numCache>
                <c:formatCode>0.00</c:formatCode>
                <c:ptCount val="1"/>
                <c:pt idx="0">
                  <c:v>4</c:v>
                </c:pt>
              </c:numCache>
            </c:numRef>
          </c:xVal>
          <c:yVal>
            <c:numRef>
              <c:f>'Impact Value'!$R$6</c:f>
              <c:numCache>
                <c:formatCode>0.00</c:formatCode>
                <c:ptCount val="1"/>
                <c:pt idx="0">
                  <c:v>3.75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2</c:v>
              </c:pt>
            </c:numLit>
          </c:bubbleSize>
        </c:ser>
        <c:ser>
          <c:idx val="2"/>
          <c:order val="2"/>
          <c:tx>
            <c:strRef>
              <c:f>'Impact Value'!$P$7</c:f>
              <c:strCache>
                <c:ptCount val="1"/>
                <c:pt idx="0">
                  <c:v>H5 continuity</c:v>
                </c:pt>
              </c:strCache>
            </c:strRef>
          </c:tx>
          <c:spPr>
            <a:solidFill xmlns:a="http://schemas.openxmlformats.org/drawingml/2006/main">
              <a:srgbClr val="9A6FB0">
                <a:alpha val="65000"/>
              </a:srgbClr>
            </a:solidFill>
            <a:ln xmlns:a="http://schemas.openxmlformats.org/drawingml/2006/main" w="12700">
              <a:solidFill>
                <a:srgbClr val="9A6FB0"/>
              </a:solidFill>
            </a:ln>
          </c:spPr>
          <c:dLbls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'Impact Value'!$Q$7</c:f>
              <c:numCache>
                <c:formatCode>0.00</c:formatCode>
                <c:ptCount val="1"/>
                <c:pt idx="0">
                  <c:v>4.75</c:v>
                </c:pt>
              </c:numCache>
            </c:numRef>
          </c:xVal>
          <c:yVal>
            <c:numRef>
              <c:f>'Impact Value'!$R$7</c:f>
              <c:numCache>
                <c:formatCode>0.00</c:formatCode>
                <c:ptCount val="1"/>
                <c:pt idx="0">
                  <c:v>3.25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1.2</c:v>
              </c:pt>
            </c:numLit>
          </c:bubbleSize>
        </c:ser>
        <c:ser>
          <c:idx val="3"/>
          <c:order val="3"/>
          <c:tx>
            <c:strRef>
              <c:f>'Impact Value'!$P$8</c:f>
              <c:strCache>
                <c:ptCount val="1"/>
                <c:pt idx="0">
                  <c:v>H2 timing</c:v>
                </c:pt>
              </c:strCache>
            </c:strRef>
          </c:tx>
          <c:spPr>
            <a:solidFill xmlns:a="http://schemas.openxmlformats.org/drawingml/2006/main">
              <a:srgbClr val="DC8E27">
                <a:alpha val="65000"/>
              </a:srgbClr>
            </a:solidFill>
            <a:ln xmlns:a="http://schemas.openxmlformats.org/drawingml/2006/main" w="12700">
              <a:solidFill>
                <a:srgbClr val="DC8E27"/>
              </a:solidFill>
            </a:ln>
          </c:spPr>
          <c:dLbls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'Impact Value'!$Q$8</c:f>
              <c:numCache>
                <c:formatCode>0.00</c:formatCode>
                <c:ptCount val="1"/>
                <c:pt idx="0">
                  <c:v>4</c:v>
                </c:pt>
              </c:numCache>
            </c:numRef>
          </c:xVal>
          <c:yVal>
            <c:numRef>
              <c:f>'Impact Value'!$R$8</c:f>
              <c:numCache>
                <c:formatCode>0.00</c:formatCode>
                <c:ptCount val="1"/>
                <c:pt idx="0">
                  <c:v>3.4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0.9</c:v>
              </c:pt>
            </c:numLit>
          </c:bubbleSize>
        </c:ser>
        <c:ser>
          <c:idx val="4"/>
          <c:order val="4"/>
          <c:tx>
            <c:strRef>
              <c:f>'Impact Value'!$P$9</c:f>
              <c:strCache>
                <c:ptCount val="1"/>
                <c:pt idx="0">
                  <c:v>H4 loyalty</c:v>
                </c:pt>
              </c:strCache>
            </c:strRef>
          </c:tx>
          <c:spPr>
            <a:solidFill xmlns:a="http://schemas.openxmlformats.org/drawingml/2006/main">
              <a:srgbClr val="C95853">
                <a:alpha val="65000"/>
              </a:srgbClr>
            </a:solidFill>
            <a:ln xmlns:a="http://schemas.openxmlformats.org/drawingml/2006/main" w="12700">
              <a:solidFill>
                <a:srgbClr val="C95853"/>
              </a:solidFill>
            </a:ln>
          </c:spPr>
          <c:dLbls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'Impact Value'!$Q$9</c:f>
              <c:numCache>
                <c:formatCode>0.00</c:formatCode>
                <c:ptCount val="1"/>
                <c:pt idx="0">
                  <c:v>4</c:v>
                </c:pt>
              </c:numCache>
            </c:numRef>
          </c:xVal>
          <c:yVal>
            <c:numRef>
              <c:f>'Impact Value'!$R$9</c:f>
              <c:numCache>
                <c:formatCode>0.00</c:formatCode>
                <c:ptCount val="1"/>
                <c:pt idx="0">
                  <c:v>3.0500000000000003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1.4</c:v>
              </c:pt>
            </c:numLit>
          </c:bubbleSize>
        </c:ser>
        <c:ser>
          <c:idx val="5"/>
          <c:order val="5"/>
          <c:tx>
            <c:strRef>
              <c:f>'Impact Value'!$P$10</c:f>
              <c:strCache>
                <c:ptCount val="1"/>
                <c:pt idx="0">
                  <c:v>AI agent</c:v>
                </c:pt>
              </c:strCache>
            </c:strRef>
          </c:tx>
          <c:spPr>
            <a:solidFill xmlns:a="http://schemas.openxmlformats.org/drawingml/2006/main">
              <a:srgbClr val="767676">
                <a:alpha val="65000"/>
              </a:srgbClr>
            </a:solidFill>
            <a:ln xmlns:a="http://schemas.openxmlformats.org/drawingml/2006/main" w="12700">
              <a:solidFill>
                <a:srgbClr val="767676"/>
              </a:solidFill>
            </a:ln>
          </c:spPr>
          <c:dLbls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'Impact Value'!$Q$10</c:f>
              <c:numCache>
                <c:formatCode>0.00</c:formatCode>
                <c:ptCount val="1"/>
                <c:pt idx="0">
                  <c:v>5</c:v>
                </c:pt>
              </c:numCache>
            </c:numRef>
          </c:xVal>
          <c:yVal>
            <c:numRef>
              <c:f>'Impact Value'!$R$10</c:f>
              <c:numCache>
                <c:formatCode>0.00</c:formatCode>
                <c:ptCount val="1"/>
                <c:pt idx="0">
                  <c:v>2.5999999999999996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4</c:v>
              </c:pt>
            </c:numLit>
          </c:bubbleSize>
        </c:ser>
        <c:ser>
          <c:idx val="6"/>
          <c:order val="6"/>
          <c:tx>
            <c:strRef>
              <c:f>'Impact Value'!$P$11</c:f>
              <c:strCache>
                <c:ptCount val="1"/>
                <c:pt idx="0">
                  <c:v>Static wording</c:v>
                </c:pt>
              </c:strCache>
            </c:strRef>
          </c:tx>
          <c:spPr>
            <a:solidFill xmlns:a="http://schemas.openxmlformats.org/drawingml/2006/main">
              <a:srgbClr val="5498BF">
                <a:alpha val="65000"/>
              </a:srgbClr>
            </a:solidFill>
            <a:ln xmlns:a="http://schemas.openxmlformats.org/drawingml/2006/main" w="12700">
              <a:solidFill>
                <a:srgbClr val="5498BF"/>
              </a:solidFill>
            </a:ln>
          </c:spPr>
          <c:dLbls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'Impact Value'!$Q$11</c:f>
              <c:numCache>
                <c:formatCode>0.00</c:formatCode>
                <c:ptCount val="1"/>
                <c:pt idx="0">
                  <c:v>1.5</c:v>
                </c:pt>
              </c:numCache>
            </c:numRef>
          </c:xVal>
          <c:yVal>
            <c:numRef>
              <c:f>'Impact Value'!$R$11</c:f>
              <c:numCache>
                <c:formatCode>0.00</c:formatCode>
                <c:ptCount val="1"/>
                <c:pt idx="0">
                  <c:v>2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0.15</c:v>
              </c:pt>
            </c:numLit>
          </c:bubbleSize>
        </c:ser>
        <c:axId val="101"/>
        <c:axId val="102"/>
      </c:bubbleChart>
      <c:valAx>
        <c:axId val="102"/>
        <c:scaling>
          <c:orientation val="minMax"/>
          <c:max val="5.5"/>
          <c:min val="1"/>
        </c:scaling>
        <c:delete val="0"/>
        <c:axPos val="l"/>
        <c:majorGridlines>
          <c:spPr>
            <a:ln xmlns:a="http://schemas.openxmlformats.org/drawingml/2006/main" w="6350">
              <a:solidFill>
                <a:srgbClr val="E7E6E6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300">
                    <a:latin typeface="Arial"/>
                    <a:ea typeface="Arial"/>
                    <a:cs typeface="Arial"/>
                  </a:rPr>
                  <a:t>Client value (score 1–5)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30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tickLblPos val="low"/>
        <c:crossAx val="101"/>
        <c:crossesAt val="3.5"/>
        <c:crossBetween val="midCat"/>
        <c:majorUnit val="0.5"/>
      </c:valAx>
      <c:valAx>
        <c:axId val="101"/>
        <c:scaling>
          <c:orientation val="minMax"/>
          <c:max val="5.5"/>
          <c:min val="1"/>
        </c:scaling>
        <c:delete val="0"/>
        <c:axPos val="b"/>
        <c:majorGridlines>
          <c:spPr>
            <a:ln xmlns:a="http://schemas.openxmlformats.org/drawingml/2006/main" w="6350">
              <a:solidFill>
                <a:srgbClr val="E7E6E6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300">
                    <a:latin typeface="Arial"/>
                    <a:ea typeface="Arial"/>
                    <a:cs typeface="Arial"/>
                  </a:rPr>
                  <a:t>Change impact (score 1–5)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30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tickLblPos val="low"/>
        <c:crossAx val="102"/>
        <c:crossesAt val="3.5"/>
        <c:crossBetween val="midCat"/>
        <c:majorUnit val="0.5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>
      <a:noFill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b4c8561c2148b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66571c55094d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67ef7f0e44548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d0daccf79ee14a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5" hidden="0" customWidth="1"/>
    <x:col min="3" max="3" width="18" hidden="0" customWidth="1"/>
    <x:col min="4" max="4" width="37" hidden="0" customWidth="1"/>
    <x:col min="5" max="5" width="33" hidden="0" customWidth="1"/>
    <x:col min="6" max="6" width="35" hidden="0" customWidth="1"/>
    <x:col min="7" max="7" width="24" hidden="0" customWidth="1"/>
    <x:col min="8" max="8" width="34" hidden="0" customWidth="1"/>
  </x:cols>
  <x:sheetData>
    <x:row r="1" ht="34" customHeight="1">
      <x:c r="A1" s="3" t="str">
        <x:v>PlanFit Navigator Core</x:v>
      </x:c>
      <x:c r="B1" s="3" t="str">
        <x:v>PlanFit Navigator Core</x:v>
      </x:c>
      <x:c r="C1" s="3" t="str">
        <x:v>PlanFit Navigator Core</x:v>
      </x:c>
      <x:c r="D1" s="3" t="str">
        <x:v>PlanFit Navigator Core</x:v>
      </x:c>
      <x:c r="E1" s="3" t="str">
        <x:v>PlanFit Navigator Core</x:v>
      </x:c>
      <x:c r="F1" s="3" t="str">
        <x:v>PlanFit Navigator Core</x:v>
      </x:c>
      <x:c r="G1" s="3" t="str">
        <x:v>PlanFit Navigator Core</x:v>
      </x:c>
      <x:c r="H1" s="3" t="str">
        <x:v>PlanFit Navigator Core</x:v>
      </x:c>
    </x:row>
    <x:row r="2" ht="28" customHeight="1">
      <x:c r="A2" s="6" t="str">
        <x:v>A2-D1 implementation schedule and value model. Base economics remain conditional and negative under the gate-consistent rollout.</x:v>
      </x:c>
      <x:c r="B2" s="6" t="str">
        <x:v>A2-D1 implementation schedule and value model. Base economics remain conditional and negative under the gate-consistent rollout.</x:v>
      </x:c>
      <x:c r="C2" s="6" t="str">
        <x:v>A2-D1 implementation schedule and value model. Base economics remain conditional and negative under the gate-consistent rollout.</x:v>
      </x:c>
      <x:c r="D2" s="6" t="str">
        <x:v>A2-D1 implementation schedule and value model. Base economics remain conditional and negative under the gate-consistent rollout.</x:v>
      </x:c>
      <x:c r="E2" s="6" t="str">
        <x:v>A2-D1 implementation schedule and value model. Base economics remain conditional and negative under the gate-consistent rollout.</x:v>
      </x:c>
      <x:c r="F2" s="6" t="str">
        <x:v>A2-D1 implementation schedule and value model. Base economics remain conditional and negative under the gate-consistent rollout.</x:v>
      </x:c>
      <x:c r="G2" s="6" t="str">
        <x:v>A2-D1 implementation schedule and value model. Base economics remain conditional and negative under the gate-consistent rollout.</x:v>
      </x:c>
      <x:c r="H2" s="6" t="str">
        <x:v>A2-D1 implementation schedule and value model. Base economics remain conditional and negative under the gate-consistent rollout.</x:v>
      </x:c>
    </x:row>
    <x:row r="4" ht="22" customHeight="1">
      <x:c r="A4" s="25" t="str">
        <x:v>Decision summary</x:v>
      </x:c>
      <x:c r="B4" s="25" t="str">
        <x:v>Decision summary</x:v>
      </x:c>
      <x:c r="C4" s="25" t="str">
        <x:v>Decision summary</x:v>
      </x:c>
      <x:c r="D4" s="25" t="str">
        <x:v>Decision summary</x:v>
      </x:c>
      <x:c r="E4" s="25" t="str">
        <x:v>Decision summary</x:v>
      </x:c>
      <x:c r="F4" s="25" t="str">
        <x:v>Decision summary</x:v>
      </x:c>
      <x:c r="G4" s="25" t="str">
        <x:v>Decision summary</x:v>
      </x:c>
      <x:c r="H4" s="25" t="str">
        <x:v>Decision summary</x:v>
      </x:c>
    </x:row>
    <x:row r="5">
      <x:c r="A5" s="11" t="str">
        <x:v>Metric</x:v>
      </x:c>
      <x:c r="B5" s="11" t="str">
        <x:v>Result</x:v>
      </x:c>
      <x:c r="D5" s="11" t="str">
        <x:v>Implication</x:v>
      </x:c>
      <x:c r="E5" s="11" t="str">
        <x:v>Evidence gate</x:v>
      </x:c>
      <x:c r="F5" s="11" t="str">
        <x:v>Current conclusion</x:v>
      </x:c>
      <x:c r="G5" s="11" t="str">
        <x:v>Owner</x:v>
      </x:c>
      <x:c r="H5" s="11" t="str">
        <x:v>Next decision</x:v>
      </x:c>
    </x:row>
    <x:row r="6">
      <x:c r="A6" s="15" t="str">
        <x:v>Roadmap</x:v>
      </x:c>
      <x:c r="B6" s="15" t="str">
        <x:v>39 weeks; 5 Oct 2026 to 30 Jun 2027</x:v>
      </x:c>
      <x:c r="D6" s="15" t="str">
        <x:v>H1Q alone cannot justify full implementation</x:v>
      </x:c>
      <x:c r="E6" s="15" t="str">
        <x:v>Observed through day 90</x:v>
      </x:c>
      <x:c r="F6" s="15" t="str">
        <x:v>Planning floor is strongly negative</x:v>
      </x:c>
      <x:c r="G6" s="15" t="str">
        <x:v>Sponsor / Finance</x:v>
      </x:c>
      <x:c r="H6" s="15" t="str">
        <x:v>Complete M2 baseline and economics calibration</x:v>
      </x:c>
    </x:row>
    <x:row r="7">
      <x:c r="A7" s="15" t="str">
        <x:v>Base saved connections</x:v>
      </x:c>
      <x:c r="B7" s="50" t="n">
        <x:f>'CBA Scenarios'!F14</x:f>
        <x:v>4500</x:v>
      </x:c>
      <x:c r="D7" s="15" t="str">
        <x:v>Contact cashability alone is insufficient</x:v>
      </x:c>
      <x:c r="E7" s="15" t="str">
        <x:v>Finance-approved released spend or monetised capacity</x:v>
      </x:c>
      <x:c r="F7" s="15" t="str">
        <x:v>Base gate-consistent NPV remains negative</x:v>
      </x:c>
      <x:c r="G7" s="15" t="str">
        <x:v>Finance benefits owner</x:v>
      </x:c>
      <x:c r="H7" s="15" t="str">
        <x:v>Validate B3 and cashability</x:v>
      </x:c>
    </x:row>
    <x:row r="8">
      <x:c r="A8" s="15" t="str">
        <x:v>Base annual benefit (NZ$m)</x:v>
      </x:c>
      <x:c r="B8" s="51" t="n">
        <x:f>'CBA Scenarios'!I14</x:f>
        <x:v>1.798596417281349</x:v>
      </x:c>
      <x:c r="D8" s="15" t="str">
        <x:v>Persistence plus faster exposure is required for a positive case</x:v>
      </x:c>
      <x:c r="E8" s="15" t="str">
        <x:v>Observed 180/365-day survival and safe scaling</x:v>
      </x:c>
      <x:c r="F8" s="15" t="str">
        <x:v>Accelerated case is only marginally positive</x:v>
      </x:c>
      <x:c r="G8" s="15" t="str">
        <x:v>Steering committee</x:v>
      </x:c>
      <x:c r="H8" s="15" t="str">
        <x:v>Do not accelerate before evidence gates</x:v>
      </x:c>
    </x:row>
    <x:row r="9">
      <x:c r="A9" s="15" t="str">
        <x:v>Annual-model NPV (NZ$m)</x:v>
      </x:c>
      <x:c r="B9" s="51" t="n">
        <x:f>'CBA Scenarios'!M14</x:f>
        <x:v>-1.1139544171054307</x:v>
      </x:c>
      <x:c r="D9" s="15" t="str">
        <x:v>Instrumentation precedes PlanFit Core</x:v>
      </x:c>
      <x:c r="E9" s="15" t="str">
        <x:v>Complete assignment and outcome events</x:v>
      </x:c>
      <x:c r="F9" s="15" t="str">
        <x:v>Recommended sequence: instrumentation, then gated pilot</x:v>
      </x:c>
      <x:c r="G9" s="15" t="str">
        <x:v>Data / product owners</x:v>
      </x:c>
      <x:c r="H9" s="15" t="str">
        <x:v>Approve event dictionary and M2 readiness</x:v>
      </x:c>
    </x:row>
    <x:row r="10">
      <x:c r="A10" s="15" t="str">
        <x:v>Annual-model BCR</x:v>
      </x:c>
      <x:c r="B10" s="57" t="n">
        <x:f>'CBA Scenarios'!L8</x:f>
        <x:v>0.6968924752892017</x:v>
      </x:c>
    </x:row>
    <x:row r="11">
      <x:c r="A11" s="15" t="str">
        <x:v>Base ROI</x:v>
      </x:c>
      <x:c r="B11" s="52" t="n">
        <x:f>'CBA Scenarios'!N14</x:f>
        <x:v>-0.21453700764295533</x:v>
      </x:c>
    </x:row>
    <x:row r="14" ht="22" customHeight="1">
      <x:c r="A14" s="25" t="str">
        <x:v>Workbook guide</x:v>
      </x:c>
      <x:c r="B14" s="25" t="str">
        <x:v>Workbook guide</x:v>
      </x:c>
      <x:c r="C14" s="25" t="str">
        <x:v>Workbook guide</x:v>
      </x:c>
      <x:c r="D14" s="25" t="str">
        <x:v>Workbook guide</x:v>
      </x:c>
      <x:c r="E14" s="25" t="str">
        <x:v>Workbook guide</x:v>
      </x:c>
      <x:c r="F14" s="25" t="str">
        <x:v>Workbook guide</x:v>
      </x:c>
      <x:c r="G14" s="25" t="str">
        <x:v>Workbook guide</x:v>
      </x:c>
      <x:c r="H14" s="25" t="str">
        <x:v>Workbook guide</x:v>
      </x:c>
    </x:row>
    <x:row r="15">
      <x:c r="A15" s="15" t="str">
        <x:v>Assumptions</x:v>
      </x:c>
      <x:c r="B15" s="15" t="str">
        <x:v>Editable financial, exposure, scenario and scoring drivers</x:v>
      </x:c>
      <x:c r="C15" s="15" t="str">
        <x:v>Gantt</x:v>
      </x:c>
      <x:c r="D15" s="15" t="str">
        <x:v>Weekly editable work plan and milestones</x:v>
      </x:c>
      <x:c r="E15" s="15" t="str">
        <x:v>CBA Scenarios</x:v>
      </x:c>
      <x:c r="F15" s="15" t="str">
        <x:v>Evidence-boundary and volume/effect cases</x:v>
      </x:c>
      <x:c r="G15" s="15" t="str">
        <x:v>Impact Value</x:v>
      </x:c>
      <x:c r="H15" s="15" t="str">
        <x:v>Formula-driven initiative matrix</x:v>
      </x:c>
    </x:row>
    <x:row r="16">
      <x:c r="A16" s="15" t="str">
        <x:v>Blue text</x:v>
      </x:c>
      <x:c r="B16" s="15" t="str">
        <x:v>Editable input</x:v>
      </x:c>
      <x:c r="C16" s="15" t="str">
        <x:v>Green text</x:v>
      </x:c>
      <x:c r="D16" s="15" t="str">
        <x:v>Cross-sheet formula</x:v>
      </x:c>
      <x:c r="E16" s="15" t="str">
        <x:v>Black text</x:v>
      </x:c>
      <x:c r="F16" s="15" t="str">
        <x:v>Same-sheet formula or label</x:v>
      </x:c>
      <x:c r="G16" s="15" t="str">
        <x:v>Checks Sources</x:v>
      </x:c>
      <x:c r="H16" s="15" t="str">
        <x:v>Reconciliations and provenance</x:v>
      </x:c>
    </x:row>
    <x:row r="17">
      <x:c r="A17" s="15" t="str">
        <x:v>Core limitation</x:v>
      </x:c>
      <x:c r="B17" s="15" t="str">
        <x:v>All operational volumes, churn, cost, contribution, timing and score inputs require Spark validation.</x:v>
      </x:c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>
        <x:v>Decision rule</x:v>
      </x:c>
      <x:c r="B18" s="15" t="str">
        <x:v>M6A: point estimate ≥15%, lower 95% CI &gt;0, valid data/power, guardrails and updated economics; capped continuation only.</x:v>
      </x:c>
      <x:c r="C18" s="15" t="str"/>
      <x:c r="D18" s="15" t="str"/>
      <x:c r="E18" s="15" t="str"/>
      <x:c r="F18" s="15" t="str"/>
      <x:c r="G18" s="15" t="str"/>
      <x:c r="H18" s="15" t="str"/>
    </x:row>
    <x:row r="20">
      <x:c r="A20" s="11" t="str">
        <x:v>Dated timing case</x:v>
      </x:c>
      <x:c r="B20" s="11" t="str">
        <x:v>XNPV (NZ$m)</x:v>
      </x:c>
      <x:c r="C20" s="11" t="str">
        <x:v>BCR</x:v>
      </x:c>
      <x:c r="D20" s="11" t="str">
        <x:v>Valuation date</x:v>
      </x:c>
    </x:row>
    <x:row r="21">
      <x:c r="A21" s="31" t="str">
        <x:f>'Dated Cash Flow'!A43</x:f>
        <x:v>Dated base</x:v>
      </x:c>
      <x:c r="B21" s="78" t="n">
        <x:f>'Dated Cash Flow'!B43</x:f>
        <x:v>-1.0745919339721355</x:v>
      </x:c>
      <x:c r="C21" s="78" t="n">
        <x:f>'Dated Cash Flow'!D43</x:f>
        <x:v>0.6998661088918205</x:v>
      </x:c>
      <x:c r="D21" s="82" t="n">
        <x:f>'Dated Cash Flow'!B6</x:f>
        <x:v>46300</x:v>
      </x:c>
    </x:row>
    <x:row r="22">
      <x:c r="A22" s="31" t="str">
        <x:f>'Dated Cash Flow'!A44</x:f>
        <x:v>3-month wave delay</x:v>
      </x:c>
      <x:c r="B22" s="78" t="n">
        <x:f>'Dated Cash Flow'!B44</x:f>
        <x:v>-1.4552678270527009</x:v>
      </x:c>
      <x:c r="C22" s="78" t="n">
        <x:f>'Dated Cash Flow'!D44</x:f>
        <x:v>0.5935432030246395</x:v>
      </x:c>
      <x:c r="D22" s="82" t="n">
        <x:f>'Dated Cash Flow'!B6</x:f>
        <x:v>46300</x:v>
      </x:c>
    </x:row>
    <x:row r="23">
      <x:c r="A23" s="31" t="str">
        <x:f>'Dated Cash Flow'!A45</x:f>
        <x:v>6-month wave delay</x:v>
      </x:c>
      <x:c r="B23" s="78" t="n">
        <x:f>'Dated Cash Flow'!B45</x:f>
        <x:v>-1.8286525545075663</x:v>
      </x:c>
      <x:c r="C23" s="78" t="n">
        <x:f>'Dated Cash Flow'!D45</x:f>
        <x:v>0.4892567221861357</x:v>
      </x:c>
      <x:c r="D23" s="82" t="n">
        <x:f>'Dated Cash Flow'!B6</x:f>
        <x:v>46300</x:v>
      </x:c>
    </x:row>
    <x:row r="25" ht="34" customHeight="1">
      <x:c r="A25" s="67" t="str">
        <x:v>Timing caveat</x:v>
      </x:c>
      <x:c r="B25" s="67" t="str">
        <x:v>Dated XNPV is a separately disclosed timing case, not a change to the annual benchmark. See Phase Costs and Dated Cash Flow for the cash assumptions.</x:v>
      </x:c>
      <x:c r="C25" s="67"/>
      <x:c r="D25" s="67"/>
      <x:c r="E25" s="67"/>
      <x:c r="F25" s="67"/>
      <x:c r="G25" s="67"/>
      <x:c r="H25" s="67"/>
    </x:row>
  </x:sheetData>
  <x:mergeCells>
    <x:mergeCell ref="A1:H1"/>
    <x:mergeCell ref="A2:H2"/>
    <x:mergeCell ref="A4:H4"/>
    <x:mergeCell ref="A14:H14"/>
    <x:mergeCell ref="B17:H17"/>
    <x:mergeCell ref="B18:H18"/>
    <x:mergeCell ref="B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34" hidden="0" customWidth="1"/>
    <x:col min="5" max="5" width="54" hidden="0" customWidth="1"/>
    <x:col min="6" max="6" width="16" hidden="0" customWidth="1"/>
    <x:col min="7" max="7" width="15" hidden="0" customWidth="1"/>
    <x:col min="8" max="8" width="16" hidden="0" customWidth="1"/>
    <x:col min="9" max="9" width="18" hidden="0" customWidth="1"/>
    <x:col min="10" max="10" width="42" hidden="0" customWidth="1"/>
  </x:cols>
  <x:sheetData>
    <x:row r="1" ht="34" customHeight="1">
      <x:c r="A1" s="3" t="str">
        <x:v>Assumptions</x:v>
      </x:c>
      <x:c r="B1" s="3" t="str">
        <x:v>Assumptions</x:v>
      </x:c>
      <x:c r="C1" s="3" t="str">
        <x:v>Assumptions</x:v>
      </x:c>
      <x:c r="D1" s="3" t="str">
        <x:v>Assumptions</x:v>
      </x:c>
      <x:c r="E1" s="3" t="str">
        <x:v>Assumptions</x:v>
      </x:c>
    </x:row>
    <x:row r="2" ht="28" customHeight="1">
      <x:c r="A2" s="6" t="str">
        <x:v>Blue cells are editable. Outputs elsewhere update from these inputs. Amounts are NZ$m unless stated.</x:v>
      </x:c>
      <x:c r="B2" s="6" t="str">
        <x:v>Blue cells are editable. Outputs elsewhere update from these inputs. Amounts are NZ$m unless stated.</x:v>
      </x:c>
      <x:c r="C2" s="6" t="str">
        <x:v>Blue cells are editable. Outputs elsewhere update from these inputs. Amounts are NZ$m unless stated.</x:v>
      </x:c>
      <x:c r="D2" s="6" t="str">
        <x:v>Blue cells are editable. Outputs elsewhere update from these inputs. Amounts are NZ$m unless stated.</x:v>
      </x:c>
      <x:c r="E2" s="6" t="str">
        <x:v>Blue cells are editable. Outputs elsewhere update from these inputs. Amounts are NZ$m unless stated.</x:v>
      </x:c>
    </x:row>
    <x:row r="4">
      <x:c r="A4" s="11" t="str">
        <x:v>Input</x:v>
      </x:c>
      <x:c r="B4" s="11" t="str">
        <x:v>Base value</x:v>
      </x:c>
      <x:c r="C4" s="11" t="str">
        <x:v>Unit</x:v>
      </x:c>
      <x:c r="D4" s="11" t="str">
        <x:v>Evidence status</x:v>
      </x:c>
      <x:c r="E4" s="11" t="str">
        <x:v>Source / calculation basis</x:v>
      </x:c>
    </x:row>
    <x:row r="5">
      <x:c r="A5" s="15" t="str">
        <x:v>Kickoff date</x:v>
      </x:c>
      <x:c r="B5" s="18" t="n">
        <x:v>46300</x:v>
      </x:c>
      <x:c r="C5" s="15" t="str">
        <x:v>date</x:v>
      </x:c>
      <x:c r="D5" s="15" t="str">
        <x:v>Proposed schedule</x:v>
      </x:c>
      <x:c r="E5" s="15" t="str">
        <x:v>A2-D1 work plan</x:v>
      </x:c>
    </x:row>
    <x:row r="6">
      <x:c r="A6" s="15" t="str">
        <x:v>Annual eligible starters</x:v>
      </x:c>
      <x:c r="B6" s="20" t="n">
        <x:v>600000</x:v>
      </x:c>
      <x:c r="C6" s="15" t="str">
        <x:v>connections</x:v>
      </x:c>
      <x:c r="D6" s="15" t="str">
        <x:v>Consulting assumption - validation required</x:v>
      </x:c>
      <x:c r="E6" s="15" t="str">
        <x:v>Below public total mobile connections</x:v>
      </x:c>
    </x:row>
    <x:row r="7">
      <x:c r="A7" s="15" t="str">
        <x:v>Baseline all qualifying 90-day voluntary churn</x:v>
      </x:c>
      <x:c r="B7" s="19" t="n">
        <x:v>0.05</x:v>
      </x:c>
      <x:c r="C7" s="15" t="str">
        <x:v>%</x:v>
      </x:c>
      <x:c r="D7" s="15" t="str">
        <x:v>Consulting assumption - establish B0</x:v>
      </x:c>
      <x:c r="E7" s="15" t="str">
        <x:v>Phase 1 B0 baseline; not a fully preventable-churn estimate</x:v>
      </x:c>
    </x:row>
    <x:row r="8">
      <x:c r="A8" s="15" t="str">
        <x:v>Relative churn reduction</x:v>
      </x:c>
      <x:c r="B8" s="19" t="n">
        <x:v>0.15</x:v>
      </x:c>
      <x:c r="C8" s="15" t="str">
        <x:v>%</x:v>
      </x:c>
      <x:c r="D8" s="15" t="str">
        <x:v>Proposed H1Q point target, subject to pre-registered CI and controls</x:v>
      </x:c>
      <x:c r="E8" s="15" t="str">
        <x:v>90-day capped-continuation threshold</x:v>
      </x:c>
    </x:row>
    <x:row r="9">
      <x:c r="A9" s="15" t="str">
        <x:v>Annual mobile service revenue proxy</x:v>
      </x:c>
      <x:c r="B9" s="21" t="n">
        <x:v>379.61538461538464</x:v>
      </x:c>
      <x:c r="C9" s="15" t="str">
        <x:v>NZ$/connection/year</x:v>
      </x:c>
      <x:c r="D9" s="15" t="str">
        <x:v>Public proxy; not consumer ARPU</x:v>
      </x:c>
      <x:c r="E9" s="15" t="str">
        <x:v>FY25 mobile service revenue / rounded connection floor</x:v>
      </x:c>
    </x:row>
    <x:row r="10">
      <x:c r="A10" s="15" t="str">
        <x:v>Contribution rate</x:v>
      </x:c>
      <x:c r="B10" s="19" t="n">
        <x:v>0.6</x:v>
      </x:c>
      <x:c r="C10" s="15" t="str">
        <x:v>%</x:v>
      </x:c>
      <x:c r="D10" s="15" t="str">
        <x:v>Consulting assumption</x:v>
      </x:c>
      <x:c r="E10" s="15" t="str">
        <x:v>Finance validation required</x:v>
      </x:c>
    </x:row>
    <x:row r="11">
      <x:c r="A11" s="15" t="str">
        <x:v>Avoided assisted contacts</x:v>
      </x:c>
      <x:c r="B11" s="20" t="n">
        <x:v>75000</x:v>
      </x:c>
      <x:c r="C11" s="15" t="str">
        <x:v>contacts/year</x:v>
      </x:c>
      <x:c r="D11" s="15" t="str">
        <x:v>Consulting assumption - establish B3</x:v>
      </x:c>
      <x:c r="E11" s="15" t="str">
        <x:v>Requires causal treatment/control contrast</x:v>
      </x:c>
    </x:row>
    <x:row r="12">
      <x:c r="A12" s="15" t="str">
        <x:v>Cost per assisted contact</x:v>
      </x:c>
      <x:c r="B12" s="22" t="n">
        <x:v>12</x:v>
      </x:c>
      <x:c r="C12" s="15" t="str">
        <x:v>NZ$/contact</x:v>
      </x:c>
      <x:c r="D12" s="15" t="str">
        <x:v>Consulting assumption</x:v>
      </x:c>
      <x:c r="E12" s="15" t="str">
        <x:v>Capacity value is not automatically cash</x:v>
      </x:c>
    </x:row>
    <x:row r="13">
      <x:c r="A13" s="15" t="str">
        <x:v>Implementation cost</x:v>
      </x:c>
      <x:c r="B13" s="62" t="n">
        <x:f>'Phase Costs'!H12</x:f>
        <x:v>2</x:v>
      </x:c>
      <x:c r="C13" s="15" t="str">
        <x:v>NZ$m</x:v>
      </x:c>
      <x:c r="D13" s="15" t="str">
        <x:v>Commercial assumption</x:v>
      </x:c>
      <x:c r="E13" s="15" t="str">
        <x:v>Includes core implementation allowance</x:v>
      </x:c>
    </x:row>
    <x:row r="14">
      <x:c r="A14" s="15" t="str">
        <x:v>Annual run cost</x:v>
      </x:c>
      <x:c r="B14" s="23" t="n">
        <x:v>0.65</x:v>
      </x:c>
      <x:c r="C14" s="15" t="str">
        <x:v>NZ$m/year</x:v>
      </x:c>
      <x:c r="D14" s="15" t="str">
        <x:v>Commercial assumption</x:v>
      </x:c>
      <x:c r="E14" s="15" t="str">
        <x:v>Ongoing run cost</x:v>
      </x:c>
    </x:row>
    <x:row r="15">
      <x:c r="A15" s="15" t="str">
        <x:v>Discount rate</x:v>
      </x:c>
      <x:c r="B15" s="19" t="n">
        <x:v>0.08</x:v>
      </x:c>
      <x:c r="C15" s="15" t="str">
        <x:v>%</x:v>
      </x:c>
      <x:c r="D15" s="15" t="str">
        <x:v>Consulting assumption</x:v>
      </x:c>
      <x:c r="E15" s="15" t="str">
        <x:v>Three-year planning discount rate</x:v>
      </x:c>
    </x:row>
    <x:row r="16">
      <x:c r="A16" s="15" t="str">
        <x:v>Year 1 exposure</x:v>
      </x:c>
      <x:c r="B16" s="19" t="n">
        <x:v>0.125</x:v>
      </x:c>
      <x:c r="C16" s="15" t="str">
        <x:v>% of scale</x:v>
      </x:c>
      <x:c r="D16" s="15" t="str">
        <x:v>Gate-consistent assumption</x:v>
      </x:c>
      <x:c r="E16" s="15" t="str">
        <x:v>Year 1: (10 × 10% + 2 × 25%) / 12 = 12.5%, gated</x:v>
      </x:c>
    </x:row>
    <x:row r="17">
      <x:c r="A17" s="15" t="str">
        <x:v>Year 2 exposure</x:v>
      </x:c>
      <x:c r="B17" s="19" t="n">
        <x:v>0.6</x:v>
      </x:c>
      <x:c r="C17" s="15" t="str">
        <x:v>% of scale</x:v>
      </x:c>
      <x:c r="D17" s="15" t="str">
        <x:v>Gate-consistent assumption</x:v>
      </x:c>
      <x:c r="E17" s="15" t="str">
        <x:v>Independent Year 2 gated planning assumption, not derived from Year 1</x:v>
      </x:c>
    </x:row>
    <x:row r="18">
      <x:c r="A18" s="15" t="str">
        <x:v>Year 3 exposure</x:v>
      </x:c>
      <x:c r="B18" s="19" t="n">
        <x:v>1</x:v>
      </x:c>
      <x:c r="C18" s="15" t="str">
        <x:v>% of scale</x:v>
      </x:c>
      <x:c r="D18" s="15" t="str">
        <x:v>Gate-consistent assumption</x:v>
      </x:c>
      <x:c r="E18" s="15" t="str">
        <x:v>Independent Year 3 gated planning assumption, not derived from Year 1</x:v>
      </x:c>
    </x:row>
    <x:row r="19">
      <x:c r="A19" s="15" t="str">
        <x:v>High-axis threshold</x:v>
      </x:c>
      <x:c r="B19" s="17" t="n">
        <x:v>3.5</x:v>
      </x:c>
      <x:c r="C19" s="15" t="str">
        <x:v>score</x:v>
      </x:c>
      <x:c r="D19" s="15" t="str">
        <x:v>Illustrative pre-workshop scoring threshold</x:v>
      </x:c>
      <x:c r="E19" s="15" t="str">
        <x:v>Impact-Value quadrant threshold</x:v>
      </x:c>
    </x:row>
    <x:row r="22" ht="22" customHeight="1">
      <x:c r="A22" s="25" t="str">
        <x:v>Scenario drivers</x:v>
      </x:c>
      <x:c r="B22" s="25" t="str">
        <x:v>Scenario drivers</x:v>
      </x:c>
      <x:c r="C22" s="25" t="str">
        <x:v>Scenario drivers</x:v>
      </x:c>
      <x:c r="D22" s="25" t="str">
        <x:v>Scenario drivers</x:v>
      </x:c>
      <x:c r="E22" s="25" t="str">
        <x:v>Scenario drivers</x:v>
      </x:c>
    </x:row>
    <x:row r="23">
      <x:c r="A23" s="11" t="str">
        <x:v>Scenario</x:v>
      </x:c>
      <x:c r="B23" s="11" t="str">
        <x:v>Eligible starters</x:v>
      </x:c>
      <x:c r="C23" s="11" t="str">
        <x:v>Baseline churn</x:v>
      </x:c>
      <x:c r="D23" s="11" t="str">
        <x:v>Relative reduction</x:v>
      </x:c>
      <x:c r="E23" s="11" t="str">
        <x:v>Contribution rate</x:v>
      </x:c>
      <x:c r="F23" s="11" t="str">
        <x:v>Avoided contacts</x:v>
      </x:c>
      <x:c r="G23" s="11" t="str">
        <x:v>Cost/contact</x:v>
      </x:c>
      <x:c r="H23" s="11" t="str">
        <x:v>Persistence days</x:v>
      </x:c>
      <x:c r="I23" s="11" t="str">
        <x:v>Contact cashability</x:v>
      </x:c>
      <x:c r="J23" s="11" t="str">
        <x:v>Evidence boundary</x:v>
      </x:c>
    </x:row>
    <x:row r="24">
      <x:c r="A24" s="15" t="str">
        <x:v>Conservative</x:v>
      </x:c>
      <x:c r="B24" s="17" t="n">
        <x:v>400000</x:v>
      </x:c>
      <x:c r="C24" s="19" t="n">
        <x:v>0.04</x:v>
      </x:c>
      <x:c r="D24" s="19" t="n">
        <x:v>0.1</x:v>
      </x:c>
      <x:c r="E24" s="19" t="n">
        <x:v>0.5</x:v>
      </x:c>
      <x:c r="F24" s="17" t="n">
        <x:v>40000</x:v>
      </x:c>
      <x:c r="G24" s="17" t="n">
        <x:v>10</x:v>
      </x:c>
      <x:c r="H24" s="17" t="n">
        <x:v>320</x:v>
      </x:c>
      <x:c r="I24" s="26" t="n">
        <x:v>1</x:v>
      </x:c>
      <x:c r="J24" s="15" t="str">
        <x:v>Conditional 12-month persistence and full cashability</x:v>
      </x:c>
    </x:row>
    <x:row r="25">
      <x:c r="A25" s="15" t="str">
        <x:v>Base</x:v>
      </x:c>
      <x:c r="B25" s="27" t="n">
        <x:f>B6</x:f>
        <x:v>600000</x:v>
      </x:c>
      <x:c r="C25" s="28" t="n">
        <x:f>B7</x:f>
        <x:v>0.05</x:v>
      </x:c>
      <x:c r="D25" s="28" t="n">
        <x:f>B8</x:f>
        <x:v>0.15</x:v>
      </x:c>
      <x:c r="E25" s="28" t="n">
        <x:f>B10</x:f>
        <x:v>0.6</x:v>
      </x:c>
      <x:c r="F25" s="27" t="n">
        <x:f>B11</x:f>
        <x:v>75000</x:v>
      </x:c>
      <x:c r="G25" s="27" t="n">
        <x:f>B12</x:f>
        <x:v>12</x:v>
      </x:c>
      <x:c r="H25" s="29" t="n">
        <x:f>'CBA Scenarios'!B8</x:f>
        <x:v>320</x:v>
      </x:c>
      <x:c r="I25" s="30" t="n">
        <x:f>'CBA Scenarios'!C8</x:f>
        <x:v>1</x:v>
      </x:c>
      <x:c r="J25" s="15" t="str">
        <x:v>Conditional 12-month persistence and full cashability</x:v>
      </x:c>
    </x:row>
    <x:row r="26">
      <x:c r="A26" s="15" t="str">
        <x:v>Upside</x:v>
      </x:c>
      <x:c r="B26" s="17" t="n">
        <x:v>800000</x:v>
      </x:c>
      <x:c r="C26" s="19" t="n">
        <x:v>0.06</x:v>
      </x:c>
      <x:c r="D26" s="19" t="n">
        <x:v>0.2</x:v>
      </x:c>
      <x:c r="E26" s="19" t="n">
        <x:v>0.7</x:v>
      </x:c>
      <x:c r="F26" s="17" t="n">
        <x:v>120000</x:v>
      </x:c>
      <x:c r="G26" s="17" t="n">
        <x:v>14</x:v>
      </x:c>
      <x:c r="H26" s="17" t="n">
        <x:v>320</x:v>
      </x:c>
      <x:c r="I26" s="26" t="n">
        <x:v>1</x:v>
      </x:c>
      <x:c r="J26" s="15" t="str">
        <x:v>Conditional 12-month persistence and full cashability</x:v>
      </x:c>
    </x:row>
  </x:sheetData>
  <x:mergeCells>
    <x:mergeCell ref="A1:E1"/>
    <x:mergeCell ref="A2:E2"/>
    <x:mergeCell ref="A22:E22"/>
  </x:mergeCells>
  <x:dataValidations count="3">
    <x:dataValidation type="decimal" operator="between" sqref="B7:B8">
      <x:formula1>0</x:formula1>
      <x:formula2>1</x:formula2>
    </x:dataValidation>
    <x:dataValidation type="decimal" operator="between" sqref="B10">
      <x:formula1>0</x:formula1>
      <x:formula2>1</x:formula2>
    </x:dataValidation>
    <x:dataValidation type="decimal" operator="between" sqref="B16:B18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9" ySplit="4" topLeftCell="J5" activePane="bottomRight" state="frozen"/>
    </x:sheetView>
  </x:sheetViews>
  <x:sheetFormatPr defaultRowHeight="15"/>
  <x:cols>
    <x:col min="10" max="10" width="5.199999809265137" hidden="0" customWidth="1"/>
    <x:col min="11" max="11" width="5.199999809265137" hidden="0" customWidth="1"/>
    <x:col min="12" max="12" width="5.199999809265137" hidden="0" customWidth="1"/>
    <x:col min="13" max="13" width="5.199999809265137" hidden="0" customWidth="1"/>
    <x:col min="14" max="14" width="5.199999809265137" hidden="0" customWidth="1"/>
    <x:col min="15" max="15" width="5.199999809265137" hidden="0" customWidth="1"/>
    <x:col min="16" max="16" width="5.199999809265137" hidden="0" customWidth="1"/>
    <x:col min="17" max="17" width="5.199999809265137" hidden="0" customWidth="1"/>
    <x:col min="18" max="18" width="5.199999809265137" hidden="0" customWidth="1"/>
    <x:col min="19" max="19" width="5.199999809265137" hidden="0" customWidth="1"/>
    <x:col min="20" max="20" width="5.199999809265137" hidden="0" customWidth="1"/>
    <x:col min="21" max="21" width="5.199999809265137" hidden="0" customWidth="1"/>
    <x:col min="22" max="22" width="5.199999809265137" hidden="0" customWidth="1"/>
    <x:col min="23" max="23" width="5.199999809265137" hidden="0" customWidth="1"/>
    <x:col min="24" max="24" width="5.199999809265137" hidden="0" customWidth="1"/>
    <x:col min="25" max="25" width="5.199999809265137" hidden="0" customWidth="1"/>
    <x:col min="26" max="26" width="5.199999809265137" hidden="0" customWidth="1"/>
    <x:col min="27" max="27" width="5.199999809265137" hidden="0" customWidth="1"/>
    <x:col min="28" max="28" width="5.199999809265137" hidden="0" customWidth="1"/>
    <x:col min="29" max="29" width="5.199999809265137" hidden="0" customWidth="1"/>
    <x:col min="30" max="30" width="5.199999809265137" hidden="0" customWidth="1"/>
    <x:col min="31" max="31" width="5.199999809265137" hidden="0" customWidth="1"/>
    <x:col min="32" max="32" width="5.199999809265137" hidden="0" customWidth="1"/>
    <x:col min="33" max="33" width="5.199999809265137" hidden="0" customWidth="1"/>
    <x:col min="34" max="34" width="5.199999809265137" hidden="0" customWidth="1"/>
    <x:col min="35" max="35" width="5.199999809265137" hidden="0" customWidth="1"/>
    <x:col min="36" max="36" width="5.199999809265137" hidden="0" customWidth="1"/>
    <x:col min="37" max="37" width="5.199999809265137" hidden="0" customWidth="1"/>
    <x:col min="38" max="38" width="5.199999809265137" hidden="0" customWidth="1"/>
    <x:col min="39" max="39" width="5.199999809265137" hidden="0" customWidth="1"/>
    <x:col min="40" max="40" width="5.199999809265137" hidden="0" customWidth="1"/>
    <x:col min="41" max="41" width="5.199999809265137" hidden="0" customWidth="1"/>
    <x:col min="42" max="42" width="5.199999809265137" hidden="0" customWidth="1"/>
    <x:col min="43" max="43" width="5.199999809265137" hidden="0" customWidth="1"/>
    <x:col min="44" max="44" width="5.199999809265137" hidden="0" customWidth="1"/>
    <x:col min="45" max="45" width="5.199999809265137" hidden="0" customWidth="1"/>
    <x:col min="46" max="46" width="5.199999809265137" hidden="0" customWidth="1"/>
    <x:col min="47" max="47" width="5.199999809265137" hidden="0" customWidth="1"/>
    <x:col min="48" max="48" width="5.199999809265137" hidden="0" customWidth="1"/>
    <x:col min="49" max="49" width="15" hidden="0" customWidth="1"/>
    <x:col min="1" max="1" width="9" hidden="0" customWidth="1"/>
    <x:col min="2" max="2" width="10" hidden="0" customWidth="1"/>
    <x:col min="3" max="3" width="10" hidden="0" customWidth="1"/>
    <x:col min="4" max="4" width="45" hidden="0" customWidth="1"/>
    <x:col min="5" max="5" width="24" hidden="0" customWidth="1"/>
    <x:col min="6" max="6" width="28" hidden="0" customWidth="1"/>
    <x:col min="7" max="7" width="24" hidden="0" customWidth="1"/>
    <x:col min="8" max="8" width="14" hidden="0" customWidth="1"/>
    <x:col min="9" max="9" width="14" hidden="0" customWidth="1"/>
  </x:cols>
  <x:sheetData>
    <x:row r="1" ht="34" customHeight="1">
      <x:c r="A1" s="3" t="str">
        <x:v>Implementation work plan</x:v>
      </x:c>
      <x:c r="B1" s="3" t="str">
        <x:v>Implementation work plan</x:v>
      </x:c>
      <x:c r="C1" s="3" t="str">
        <x:v>Implementation work plan</x:v>
      </x:c>
      <x:c r="D1" s="3" t="str">
        <x:v>Implementation work plan</x:v>
      </x:c>
      <x:c r="E1" s="3" t="str">
        <x:v>Implementation work plan</x:v>
      </x:c>
      <x:c r="F1" s="3" t="str">
        <x:v>Implementation work plan</x:v>
      </x:c>
      <x:c r="G1" s="3" t="str">
        <x:v>Implementation work plan</x:v>
      </x:c>
      <x:c r="H1" s="3" t="str">
        <x:v>Implementation work plan</x:v>
      </x:c>
      <x:c r="I1" s="3" t="str">
        <x:v>Implementation work plan</x:v>
      </x:c>
      <x:c r="J1" s="3" t="str">
        <x:v>Implementation work plan</x:v>
      </x:c>
      <x:c r="K1" s="3" t="str">
        <x:v>Implementation work plan</x:v>
      </x:c>
      <x:c r="L1" s="3" t="str">
        <x:v>Implementation work plan</x:v>
      </x:c>
      <x:c r="M1" s="3" t="str">
        <x:v>Implementation work plan</x:v>
      </x:c>
      <x:c r="N1" s="3" t="str">
        <x:v>Implementation work plan</x:v>
      </x:c>
      <x:c r="O1" s="3" t="str">
        <x:v>Implementation work plan</x:v>
      </x:c>
      <x:c r="P1" s="3" t="str">
        <x:v>Implementation work plan</x:v>
      </x:c>
      <x:c r="Q1" s="3" t="str">
        <x:v>Implementation work plan</x:v>
      </x:c>
      <x:c r="R1" s="3" t="str">
        <x:v>Implementation work plan</x:v>
      </x:c>
      <x:c r="S1" s="3" t="str">
        <x:v>Implementation work plan</x:v>
      </x:c>
      <x:c r="T1" s="3" t="str">
        <x:v>Implementation work plan</x:v>
      </x:c>
      <x:c r="U1" s="3" t="str">
        <x:v>Implementation work plan</x:v>
      </x:c>
      <x:c r="V1" s="3" t="str">
        <x:v>Implementation work plan</x:v>
      </x:c>
      <x:c r="W1" s="3" t="str">
        <x:v>Implementation work plan</x:v>
      </x:c>
      <x:c r="X1" s="3" t="str">
        <x:v>Implementation work plan</x:v>
      </x:c>
      <x:c r="Y1" s="3" t="str">
        <x:v>Implementation work plan</x:v>
      </x:c>
      <x:c r="Z1" s="3" t="str">
        <x:v>Implementation work plan</x:v>
      </x:c>
      <x:c r="AA1" s="3" t="str">
        <x:v>Implementation work plan</x:v>
      </x:c>
      <x:c r="AB1" s="3" t="str">
        <x:v>Implementation work plan</x:v>
      </x:c>
      <x:c r="AC1" s="3" t="str">
        <x:v>Implementation work plan</x:v>
      </x:c>
      <x:c r="AD1" s="3" t="str">
        <x:v>Implementation work plan</x:v>
      </x:c>
      <x:c r="AE1" s="3" t="str">
        <x:v>Implementation work plan</x:v>
      </x:c>
      <x:c r="AF1" s="3" t="str">
        <x:v>Implementation work plan</x:v>
      </x:c>
      <x:c r="AG1" s="3" t="str">
        <x:v>Implementation work plan</x:v>
      </x:c>
      <x:c r="AH1" s="3" t="str">
        <x:v>Implementation work plan</x:v>
      </x:c>
      <x:c r="AI1" s="3" t="str">
        <x:v>Implementation work plan</x:v>
      </x:c>
      <x:c r="AJ1" s="3" t="str">
        <x:v>Implementation work plan</x:v>
      </x:c>
      <x:c r="AK1" s="3" t="str">
        <x:v>Implementation work plan</x:v>
      </x:c>
      <x:c r="AL1" s="3" t="str">
        <x:v>Implementation work plan</x:v>
      </x:c>
      <x:c r="AM1" s="3" t="str">
        <x:v>Implementation work plan</x:v>
      </x:c>
      <x:c r="AN1" s="3" t="str">
        <x:v>Implementation work plan</x:v>
      </x:c>
      <x:c r="AO1" s="3" t="str">
        <x:v>Implementation work plan</x:v>
      </x:c>
      <x:c r="AP1" s="3" t="str">
        <x:v>Implementation work plan</x:v>
      </x:c>
      <x:c r="AQ1" s="3" t="str">
        <x:v>Implementation work plan</x:v>
      </x:c>
      <x:c r="AR1" s="3" t="str">
        <x:v>Implementation work plan</x:v>
      </x:c>
      <x:c r="AS1" s="3" t="str">
        <x:v>Implementation work plan</x:v>
      </x:c>
      <x:c r="AT1" s="3" t="str">
        <x:v>Implementation work plan</x:v>
      </x:c>
      <x:c r="AU1" s="3" t="str">
        <x:v>Implementation work plan</x:v>
      </x:c>
      <x:c r="AV1" s="3" t="str">
        <x:v>Implementation work plan</x:v>
      </x:c>
    </x:row>
    <x:row r="2" ht="28" customHeight="1">
      <x:c r="A2" s="6" t="str">
        <x:v>39-week gated roadmap from 5 October 2026 to 30 June 2027. Edit start/end weeks to update the weekly Gantt.</x:v>
      </x:c>
      <x:c r="B2" s="6" t="str">
        <x:v>39-week gated roadmap from 5 October 2026 to 30 June 2027. Edit start/end weeks to update the weekly Gantt.</x:v>
      </x:c>
      <x:c r="C2" s="6" t="str">
        <x:v>39-week gated roadmap from 5 October 2026 to 30 June 2027. Edit start/end weeks to update the weekly Gantt.</x:v>
      </x:c>
      <x:c r="D2" s="6" t="str">
        <x:v>39-week gated roadmap from 5 October 2026 to 30 June 2027. Edit start/end weeks to update the weekly Gantt.</x:v>
      </x:c>
      <x:c r="E2" s="6" t="str">
        <x:v>39-week gated roadmap from 5 October 2026 to 30 June 2027. Edit start/end weeks to update the weekly Gantt.</x:v>
      </x:c>
      <x:c r="F2" s="6" t="str">
        <x:v>39-week gated roadmap from 5 October 2026 to 30 June 2027. Edit start/end weeks to update the weekly Gantt.</x:v>
      </x:c>
      <x:c r="G2" s="6" t="str">
        <x:v>39-week gated roadmap from 5 October 2026 to 30 June 2027. Edit start/end weeks to update the weekly Gantt.</x:v>
      </x:c>
      <x:c r="H2" s="6" t="str">
        <x:v>39-week gated roadmap from 5 October 2026 to 30 June 2027. Edit start/end weeks to update the weekly Gantt.</x:v>
      </x:c>
      <x:c r="I2" s="6" t="str">
        <x:v>39-week gated roadmap from 5 October 2026 to 30 June 2027. Edit start/end weeks to update the weekly Gantt.</x:v>
      </x:c>
      <x:c r="J2" s="6" t="str">
        <x:v>39-week gated roadmap from 5 October 2026 to 30 June 2027. Edit start/end weeks to update the weekly Gantt.</x:v>
      </x:c>
      <x:c r="K2" s="6" t="str">
        <x:v>39-week gated roadmap from 5 October 2026 to 30 June 2027. Edit start/end weeks to update the weekly Gantt.</x:v>
      </x:c>
      <x:c r="L2" s="6" t="str">
        <x:v>39-week gated roadmap from 5 October 2026 to 30 June 2027. Edit start/end weeks to update the weekly Gantt.</x:v>
      </x:c>
      <x:c r="M2" s="6" t="str">
        <x:v>39-week gated roadmap from 5 October 2026 to 30 June 2027. Edit start/end weeks to update the weekly Gantt.</x:v>
      </x:c>
      <x:c r="N2" s="6" t="str">
        <x:v>39-week gated roadmap from 5 October 2026 to 30 June 2027. Edit start/end weeks to update the weekly Gantt.</x:v>
      </x:c>
      <x:c r="O2" s="6" t="str">
        <x:v>39-week gated roadmap from 5 October 2026 to 30 June 2027. Edit start/end weeks to update the weekly Gantt.</x:v>
      </x:c>
      <x:c r="P2" s="6" t="str">
        <x:v>39-week gated roadmap from 5 October 2026 to 30 June 2027. Edit start/end weeks to update the weekly Gantt.</x:v>
      </x:c>
      <x:c r="Q2" s="6" t="str">
        <x:v>39-week gated roadmap from 5 October 2026 to 30 June 2027. Edit start/end weeks to update the weekly Gantt.</x:v>
      </x:c>
      <x:c r="R2" s="6" t="str">
        <x:v>39-week gated roadmap from 5 October 2026 to 30 June 2027. Edit start/end weeks to update the weekly Gantt.</x:v>
      </x:c>
      <x:c r="S2" s="6" t="str">
        <x:v>39-week gated roadmap from 5 October 2026 to 30 June 2027. Edit start/end weeks to update the weekly Gantt.</x:v>
      </x:c>
      <x:c r="T2" s="6" t="str">
        <x:v>39-week gated roadmap from 5 October 2026 to 30 June 2027. Edit start/end weeks to update the weekly Gantt.</x:v>
      </x:c>
      <x:c r="U2" s="6" t="str">
        <x:v>39-week gated roadmap from 5 October 2026 to 30 June 2027. Edit start/end weeks to update the weekly Gantt.</x:v>
      </x:c>
      <x:c r="V2" s="6" t="str">
        <x:v>39-week gated roadmap from 5 October 2026 to 30 June 2027. Edit start/end weeks to update the weekly Gantt.</x:v>
      </x:c>
      <x:c r="W2" s="6" t="str">
        <x:v>39-week gated roadmap from 5 October 2026 to 30 June 2027. Edit start/end weeks to update the weekly Gantt.</x:v>
      </x:c>
      <x:c r="X2" s="6" t="str">
        <x:v>39-week gated roadmap from 5 October 2026 to 30 June 2027. Edit start/end weeks to update the weekly Gantt.</x:v>
      </x:c>
      <x:c r="Y2" s="6" t="str">
        <x:v>39-week gated roadmap from 5 October 2026 to 30 June 2027. Edit start/end weeks to update the weekly Gantt.</x:v>
      </x:c>
      <x:c r="Z2" s="6" t="str">
        <x:v>39-week gated roadmap from 5 October 2026 to 30 June 2027. Edit start/end weeks to update the weekly Gantt.</x:v>
      </x:c>
      <x:c r="AA2" s="6" t="str">
        <x:v>39-week gated roadmap from 5 October 2026 to 30 June 2027. Edit start/end weeks to update the weekly Gantt.</x:v>
      </x:c>
      <x:c r="AB2" s="6" t="str">
        <x:v>39-week gated roadmap from 5 October 2026 to 30 June 2027. Edit start/end weeks to update the weekly Gantt.</x:v>
      </x:c>
      <x:c r="AC2" s="6" t="str">
        <x:v>39-week gated roadmap from 5 October 2026 to 30 June 2027. Edit start/end weeks to update the weekly Gantt.</x:v>
      </x:c>
      <x:c r="AD2" s="6" t="str">
        <x:v>39-week gated roadmap from 5 October 2026 to 30 June 2027. Edit start/end weeks to update the weekly Gantt.</x:v>
      </x:c>
      <x:c r="AE2" s="6" t="str">
        <x:v>39-week gated roadmap from 5 October 2026 to 30 June 2027. Edit start/end weeks to update the weekly Gantt.</x:v>
      </x:c>
      <x:c r="AF2" s="6" t="str">
        <x:v>39-week gated roadmap from 5 October 2026 to 30 June 2027. Edit start/end weeks to update the weekly Gantt.</x:v>
      </x:c>
      <x:c r="AG2" s="6" t="str">
        <x:v>39-week gated roadmap from 5 October 2026 to 30 June 2027. Edit start/end weeks to update the weekly Gantt.</x:v>
      </x:c>
      <x:c r="AH2" s="6" t="str">
        <x:v>39-week gated roadmap from 5 October 2026 to 30 June 2027. Edit start/end weeks to update the weekly Gantt.</x:v>
      </x:c>
      <x:c r="AI2" s="6" t="str">
        <x:v>39-week gated roadmap from 5 October 2026 to 30 June 2027. Edit start/end weeks to update the weekly Gantt.</x:v>
      </x:c>
      <x:c r="AJ2" s="6" t="str">
        <x:v>39-week gated roadmap from 5 October 2026 to 30 June 2027. Edit start/end weeks to update the weekly Gantt.</x:v>
      </x:c>
      <x:c r="AK2" s="6" t="str">
        <x:v>39-week gated roadmap from 5 October 2026 to 30 June 2027. Edit start/end weeks to update the weekly Gantt.</x:v>
      </x:c>
      <x:c r="AL2" s="6" t="str">
        <x:v>39-week gated roadmap from 5 October 2026 to 30 June 2027. Edit start/end weeks to update the weekly Gantt.</x:v>
      </x:c>
      <x:c r="AM2" s="6" t="str">
        <x:v>39-week gated roadmap from 5 October 2026 to 30 June 2027. Edit start/end weeks to update the weekly Gantt.</x:v>
      </x:c>
      <x:c r="AN2" s="6" t="str">
        <x:v>39-week gated roadmap from 5 October 2026 to 30 June 2027. Edit start/end weeks to update the weekly Gantt.</x:v>
      </x:c>
      <x:c r="AO2" s="6" t="str">
        <x:v>39-week gated roadmap from 5 October 2026 to 30 June 2027. Edit start/end weeks to update the weekly Gantt.</x:v>
      </x:c>
      <x:c r="AP2" s="6" t="str">
        <x:v>39-week gated roadmap from 5 October 2026 to 30 June 2027. Edit start/end weeks to update the weekly Gantt.</x:v>
      </x:c>
      <x:c r="AQ2" s="6" t="str">
        <x:v>39-week gated roadmap from 5 October 2026 to 30 June 2027. Edit start/end weeks to update the weekly Gantt.</x:v>
      </x:c>
      <x:c r="AR2" s="6" t="str">
        <x:v>39-week gated roadmap from 5 October 2026 to 30 June 2027. Edit start/end weeks to update the weekly Gantt.</x:v>
      </x:c>
      <x:c r="AS2" s="6" t="str">
        <x:v>39-week gated roadmap from 5 October 2026 to 30 June 2027. Edit start/end weeks to update the weekly Gantt.</x:v>
      </x:c>
      <x:c r="AT2" s="6" t="str">
        <x:v>39-week gated roadmap from 5 October 2026 to 30 June 2027. Edit start/end weeks to update the weekly Gantt.</x:v>
      </x:c>
      <x:c r="AU2" s="6" t="str">
        <x:v>39-week gated roadmap from 5 October 2026 to 30 June 2027. Edit start/end weeks to update the weekly Gantt.</x:v>
      </x:c>
      <x:c r="AV2" s="6" t="str">
        <x:v>39-week gated roadmap from 5 October 2026 to 30 June 2027. Edit start/end weeks to update the weekly Gantt.</x:v>
      </x:c>
    </x:row>
    <x:row r="3">
      <x:c r="J3" s="11" t="str">
        <x:v>W1</x:v>
      </x:c>
      <x:c r="K3" s="11" t="str">
        <x:v>W2</x:v>
      </x:c>
      <x:c r="L3" s="11" t="str">
        <x:v>W3</x:v>
      </x:c>
      <x:c r="M3" s="11" t="str">
        <x:v>W4</x:v>
      </x:c>
      <x:c r="N3" s="11" t="str">
        <x:v>W5</x:v>
      </x:c>
      <x:c r="O3" s="11" t="str">
        <x:v>W6</x:v>
      </x:c>
      <x:c r="P3" s="11" t="str">
        <x:v>W7</x:v>
      </x:c>
      <x:c r="Q3" s="11" t="str">
        <x:v>W8</x:v>
      </x:c>
      <x:c r="R3" s="11" t="str">
        <x:v>W9</x:v>
      </x:c>
      <x:c r="S3" s="11" t="str">
        <x:v>W10</x:v>
      </x:c>
      <x:c r="T3" s="11" t="str">
        <x:v>W11</x:v>
      </x:c>
      <x:c r="U3" s="11" t="str">
        <x:v>W12</x:v>
      </x:c>
      <x:c r="V3" s="11" t="str">
        <x:v>W13</x:v>
      </x:c>
      <x:c r="W3" s="11" t="str">
        <x:v>W14</x:v>
      </x:c>
      <x:c r="X3" s="11" t="str">
        <x:v>W15</x:v>
      </x:c>
      <x:c r="Y3" s="11" t="str">
        <x:v>W16</x:v>
      </x:c>
      <x:c r="Z3" s="11" t="str">
        <x:v>W17</x:v>
      </x:c>
      <x:c r="AA3" s="11" t="str">
        <x:v>W18</x:v>
      </x:c>
      <x:c r="AB3" s="11" t="str">
        <x:v>W19</x:v>
      </x:c>
      <x:c r="AC3" s="11" t="str">
        <x:v>W20</x:v>
      </x:c>
      <x:c r="AD3" s="11" t="str">
        <x:v>W21</x:v>
      </x:c>
      <x:c r="AE3" s="11" t="str">
        <x:v>W22</x:v>
      </x:c>
      <x:c r="AF3" s="11" t="str">
        <x:v>W23</x:v>
      </x:c>
      <x:c r="AG3" s="11" t="str">
        <x:v>W24</x:v>
      </x:c>
      <x:c r="AH3" s="11" t="str">
        <x:v>W25</x:v>
      </x:c>
      <x:c r="AI3" s="11" t="str">
        <x:v>W26</x:v>
      </x:c>
      <x:c r="AJ3" s="11" t="str">
        <x:v>W27</x:v>
      </x:c>
      <x:c r="AK3" s="11" t="str">
        <x:v>W28</x:v>
      </x:c>
      <x:c r="AL3" s="11" t="str">
        <x:v>W29</x:v>
      </x:c>
      <x:c r="AM3" s="11" t="str">
        <x:v>W30</x:v>
      </x:c>
      <x:c r="AN3" s="11" t="str">
        <x:v>W31</x:v>
      </x:c>
      <x:c r="AO3" s="11" t="str">
        <x:v>W32</x:v>
      </x:c>
      <x:c r="AP3" s="11" t="str">
        <x:v>W33</x:v>
      </x:c>
      <x:c r="AQ3" s="11" t="str">
        <x:v>W34</x:v>
      </x:c>
      <x:c r="AR3" s="11" t="str">
        <x:v>W35</x:v>
      </x:c>
      <x:c r="AS3" s="11" t="str">
        <x:v>W36</x:v>
      </x:c>
      <x:c r="AT3" s="11" t="str">
        <x:v>W37</x:v>
      </x:c>
      <x:c r="AU3" s="11" t="str">
        <x:v>W38</x:v>
      </x:c>
      <x:c r="AV3" s="11" t="str">
        <x:v>W39</x:v>
      </x:c>
    </x:row>
    <x:row r="4" ht="42" customHeight="1">
      <x:c r="A4" s="11" t="str">
        <x:v>WP</x:v>
      </x:c>
      <x:c r="B4" s="11" t="str">
        <x:v>Start week</x:v>
      </x:c>
      <x:c r="C4" s="11" t="str">
        <x:v>End week</x:v>
      </x:c>
      <x:c r="D4" s="11" t="str">
        <x:v>Activity / deliverable</x:v>
      </x:c>
      <x:c r="E4" s="11" t="str">
        <x:v>Consultant lead</x:v>
      </x:c>
      <x:c r="F4" s="11" t="str">
        <x:v>Spark responsibility</x:v>
      </x:c>
      <x:c r="G4" s="11" t="str">
        <x:v>Dependency</x:v>
      </x:c>
      <x:c r="H4" s="11" t="str">
        <x:v>Start date</x:v>
      </x:c>
      <x:c r="I4" s="11" t="str">
        <x:v>End date</x:v>
      </x:c>
      <x:c r="J4" s="40" t="n">
        <x:f>'Assumptions'!$B$5+7*(1-1)</x:f>
        <x:v>46300</x:v>
      </x:c>
      <x:c r="K4" s="40" t="n">
        <x:f>'Assumptions'!$B$5+7*(2-1)</x:f>
        <x:v>46307</x:v>
      </x:c>
      <x:c r="L4" s="40" t="n">
        <x:f>'Assumptions'!$B$5+7*(3-1)</x:f>
        <x:v>46314</x:v>
      </x:c>
      <x:c r="M4" s="40" t="n">
        <x:f>'Assumptions'!$B$5+7*(4-1)</x:f>
        <x:v>46321</x:v>
      </x:c>
      <x:c r="N4" s="40" t="n">
        <x:f>'Assumptions'!$B$5+7*(5-1)</x:f>
        <x:v>46328</x:v>
      </x:c>
      <x:c r="O4" s="40" t="n">
        <x:f>'Assumptions'!$B$5+7*(6-1)</x:f>
        <x:v>46335</x:v>
      </x:c>
      <x:c r="P4" s="40" t="n">
        <x:f>'Assumptions'!$B$5+7*(7-1)</x:f>
        <x:v>46342</x:v>
      </x:c>
      <x:c r="Q4" s="40" t="n">
        <x:f>'Assumptions'!$B$5+7*(8-1)</x:f>
        <x:v>46349</x:v>
      </x:c>
      <x:c r="R4" s="40" t="n">
        <x:f>'Assumptions'!$B$5+7*(9-1)</x:f>
        <x:v>46356</x:v>
      </x:c>
      <x:c r="S4" s="40" t="n">
        <x:f>'Assumptions'!$B$5+7*(10-1)</x:f>
        <x:v>46363</x:v>
      </x:c>
      <x:c r="T4" s="40" t="n">
        <x:f>'Assumptions'!$B$5+7*(11-1)</x:f>
        <x:v>46370</x:v>
      </x:c>
      <x:c r="U4" s="40" t="n">
        <x:f>'Assumptions'!$B$5+7*(12-1)</x:f>
        <x:v>46377</x:v>
      </x:c>
      <x:c r="V4" s="40" t="n">
        <x:f>'Assumptions'!$B$5+7*(13-1)</x:f>
        <x:v>46384</x:v>
      </x:c>
      <x:c r="W4" s="40" t="n">
        <x:f>'Assumptions'!$B$5+7*(14-1)</x:f>
        <x:v>46391</x:v>
      </x:c>
      <x:c r="X4" s="40" t="n">
        <x:f>'Assumptions'!$B$5+7*(15-1)</x:f>
        <x:v>46398</x:v>
      </x:c>
      <x:c r="Y4" s="40" t="n">
        <x:f>'Assumptions'!$B$5+7*(16-1)</x:f>
        <x:v>46405</x:v>
      </x:c>
      <x:c r="Z4" s="40" t="n">
        <x:f>'Assumptions'!$B$5+7*(17-1)</x:f>
        <x:v>46412</x:v>
      </x:c>
      <x:c r="AA4" s="40" t="n">
        <x:f>'Assumptions'!$B$5+7*(18-1)</x:f>
        <x:v>46419</x:v>
      </x:c>
      <x:c r="AB4" s="40" t="n">
        <x:f>'Assumptions'!$B$5+7*(19-1)</x:f>
        <x:v>46426</x:v>
      </x:c>
      <x:c r="AC4" s="40" t="n">
        <x:f>'Assumptions'!$B$5+7*(20-1)</x:f>
        <x:v>46433</x:v>
      </x:c>
      <x:c r="AD4" s="40" t="n">
        <x:f>'Assumptions'!$B$5+7*(21-1)</x:f>
        <x:v>46440</x:v>
      </x:c>
      <x:c r="AE4" s="40" t="n">
        <x:f>'Assumptions'!$B$5+7*(22-1)</x:f>
        <x:v>46447</x:v>
      </x:c>
      <x:c r="AF4" s="40" t="n">
        <x:f>'Assumptions'!$B$5+7*(23-1)</x:f>
        <x:v>46454</x:v>
      </x:c>
      <x:c r="AG4" s="40" t="n">
        <x:f>'Assumptions'!$B$5+7*(24-1)</x:f>
        <x:v>46461</x:v>
      </x:c>
      <x:c r="AH4" s="40" t="n">
        <x:f>'Assumptions'!$B$5+7*(25-1)</x:f>
        <x:v>46468</x:v>
      </x:c>
      <x:c r="AI4" s="40" t="n">
        <x:f>'Assumptions'!$B$5+7*(26-1)</x:f>
        <x:v>46475</x:v>
      </x:c>
      <x:c r="AJ4" s="40" t="n">
        <x:f>'Assumptions'!$B$5+7*(27-1)</x:f>
        <x:v>46482</x:v>
      </x:c>
      <x:c r="AK4" s="40" t="n">
        <x:f>'Assumptions'!$B$5+7*(28-1)</x:f>
        <x:v>46489</x:v>
      </x:c>
      <x:c r="AL4" s="40" t="n">
        <x:f>'Assumptions'!$B$5+7*(29-1)</x:f>
        <x:v>46496</x:v>
      </x:c>
      <x:c r="AM4" s="40" t="n">
        <x:f>'Assumptions'!$B$5+7*(30-1)</x:f>
        <x:v>46503</x:v>
      </x:c>
      <x:c r="AN4" s="40" t="n">
        <x:f>'Assumptions'!$B$5+7*(31-1)</x:f>
        <x:v>46510</x:v>
      </x:c>
      <x:c r="AO4" s="40" t="n">
        <x:f>'Assumptions'!$B$5+7*(32-1)</x:f>
        <x:v>46517</x:v>
      </x:c>
      <x:c r="AP4" s="40" t="n">
        <x:f>'Assumptions'!$B$5+7*(33-1)</x:f>
        <x:v>46524</x:v>
      </x:c>
      <x:c r="AQ4" s="40" t="n">
        <x:f>'Assumptions'!$B$5+7*(34-1)</x:f>
        <x:v>46531</x:v>
      </x:c>
      <x:c r="AR4" s="40" t="n">
        <x:f>'Assumptions'!$B$5+7*(35-1)</x:f>
        <x:v>46538</x:v>
      </x:c>
      <x:c r="AS4" s="40" t="n">
        <x:f>'Assumptions'!$B$5+7*(36-1)</x:f>
        <x:v>46545</x:v>
      </x:c>
      <x:c r="AT4" s="40" t="n">
        <x:f>'Assumptions'!$B$5+7*(37-1)</x:f>
        <x:v>46552</x:v>
      </x:c>
      <x:c r="AU4" s="40" t="n">
        <x:f>'Assumptions'!$B$5+7*(38-1)</x:f>
        <x:v>46559</x:v>
      </x:c>
      <x:c r="AV4" s="40" t="n">
        <x:f>'Assumptions'!$B$5+7*(39-1)</x:f>
        <x:v>46566</x:v>
      </x:c>
      <x:c r="AW4" s="11" t="str">
        <x:v>Duration (calendar days)</x:v>
      </x:c>
    </x:row>
    <x:row r="5">
      <x:c r="A5" s="15" t="str">
        <x:v>0.1</x:v>
      </x:c>
      <x:c r="B5" s="17" t="n">
        <x:v>1</x:v>
      </x:c>
      <x:c r="C5" s="17" t="n">
        <x:v>1</x:v>
      </x:c>
      <x:c r="D5" s="15" t="str">
        <x:v>Kickoff; charter, scope, exclusions and RACI</x:v>
      </x:c>
      <x:c r="E5" s="15" t="str">
        <x:v>Engagement manager</x:v>
      </x:c>
      <x:c r="F5" s="15" t="str">
        <x:v>Sponsor / process owner</x:v>
      </x:c>
      <x:c r="G5" s="15" t="str">
        <x:v>Signed SOW</x:v>
      </x:c>
      <x:c r="H5" s="32" t="n">
        <x:f>'Assumptions'!$B$5+7*(B5-1)</x:f>
        <x:v>46300</x:v>
      </x:c>
      <x:c r="I5" s="32" t="n">
        <x:f>MIN('Assumptions'!$B$5+7*C5-3,DATE(2027,6,30))</x:f>
        <x:v>46304</x:v>
      </x:c>
      <x:c r="J5" s="42" t="str">
        <x:f>IF(AND(1&gt;=$B5,1&lt;=$C5),"■","")</x:f>
        <x:v>■</x:v>
      </x:c>
      <x:c r="K5" s="42" t="str">
        <x:f>IF(AND(2&gt;=$B5,2&lt;=$C5),"■","")</x:f>
      </x:c>
      <x:c r="L5" s="42" t="str">
        <x:f>IF(AND(3&gt;=$B5,3&lt;=$C5),"■","")</x:f>
      </x:c>
      <x:c r="M5" s="42" t="str">
        <x:f>IF(AND(4&gt;=$B5,4&lt;=$C5),"■","")</x:f>
      </x:c>
      <x:c r="N5" s="42" t="str">
        <x:f>IF(AND(5&gt;=$B5,5&lt;=$C5),"■","")</x:f>
      </x:c>
      <x:c r="O5" s="42" t="str">
        <x:f>IF(AND(6&gt;=$B5,6&lt;=$C5),"■","")</x:f>
      </x:c>
      <x:c r="P5" s="42" t="str">
        <x:f>IF(AND(7&gt;=$B5,7&lt;=$C5),"■","")</x:f>
      </x:c>
      <x:c r="Q5" s="42" t="str">
        <x:f>IF(AND(8&gt;=$B5,8&lt;=$C5),"■","")</x:f>
      </x:c>
      <x:c r="R5" s="42" t="str">
        <x:f>IF(AND(9&gt;=$B5,9&lt;=$C5),"■","")</x:f>
      </x:c>
      <x:c r="S5" s="42" t="str">
        <x:f>IF(AND(10&gt;=$B5,10&lt;=$C5),"■","")</x:f>
      </x:c>
      <x:c r="T5" s="42" t="str">
        <x:f>IF(AND(11&gt;=$B5,11&lt;=$C5),"■","")</x:f>
      </x:c>
      <x:c r="U5" s="42" t="str">
        <x:f>IF(AND(12&gt;=$B5,12&lt;=$C5),"■","")</x:f>
      </x:c>
      <x:c r="V5" s="42" t="str">
        <x:f>IF(AND(13&gt;=$B5,13&lt;=$C5),"■","")</x:f>
      </x:c>
      <x:c r="W5" s="42" t="str">
        <x:f>IF(AND(14&gt;=$B5,14&lt;=$C5),"■","")</x:f>
      </x:c>
      <x:c r="X5" s="42" t="str">
        <x:f>IF(AND(15&gt;=$B5,15&lt;=$C5),"■","")</x:f>
      </x:c>
      <x:c r="Y5" s="42" t="str">
        <x:f>IF(AND(16&gt;=$B5,16&lt;=$C5),"■","")</x:f>
      </x:c>
      <x:c r="Z5" s="42" t="str">
        <x:f>IF(AND(17&gt;=$B5,17&lt;=$C5),"■","")</x:f>
      </x:c>
      <x:c r="AA5" s="42" t="str">
        <x:f>IF(AND(18&gt;=$B5,18&lt;=$C5),"■","")</x:f>
      </x:c>
      <x:c r="AB5" s="42" t="str">
        <x:f>IF(AND(19&gt;=$B5,19&lt;=$C5),"■","")</x:f>
      </x:c>
      <x:c r="AC5" s="42" t="str">
        <x:f>IF(AND(20&gt;=$B5,20&lt;=$C5),"■","")</x:f>
      </x:c>
      <x:c r="AD5" s="42" t="str">
        <x:f>IF(AND(21&gt;=$B5,21&lt;=$C5),"■","")</x:f>
      </x:c>
      <x:c r="AE5" s="42" t="str">
        <x:f>IF(AND(22&gt;=$B5,22&lt;=$C5),"■","")</x:f>
      </x:c>
      <x:c r="AF5" s="42" t="str">
        <x:f>IF(AND(23&gt;=$B5,23&lt;=$C5),"■","")</x:f>
      </x:c>
      <x:c r="AG5" s="42" t="str">
        <x:f>IF(AND(24&gt;=$B5,24&lt;=$C5),"■","")</x:f>
      </x:c>
      <x:c r="AH5" s="42" t="str">
        <x:f>IF(AND(25&gt;=$B5,25&lt;=$C5),"■","")</x:f>
      </x:c>
      <x:c r="AI5" s="42" t="str">
        <x:f>IF(AND(26&gt;=$B5,26&lt;=$C5),"■","")</x:f>
      </x:c>
      <x:c r="AJ5" s="42" t="str">
        <x:f>IF(AND(27&gt;=$B5,27&lt;=$C5),"■","")</x:f>
      </x:c>
      <x:c r="AK5" s="42" t="str">
        <x:f>IF(AND(28&gt;=$B5,28&lt;=$C5),"■","")</x:f>
      </x:c>
      <x:c r="AL5" s="42" t="str">
        <x:f>IF(AND(29&gt;=$B5,29&lt;=$C5),"■","")</x:f>
      </x:c>
      <x:c r="AM5" s="42" t="str">
        <x:f>IF(AND(30&gt;=$B5,30&lt;=$C5),"■","")</x:f>
      </x:c>
      <x:c r="AN5" s="42" t="str">
        <x:f>IF(AND(31&gt;=$B5,31&lt;=$C5),"■","")</x:f>
      </x:c>
      <x:c r="AO5" s="42" t="str">
        <x:f>IF(AND(32&gt;=$B5,32&lt;=$C5),"■","")</x:f>
      </x:c>
      <x:c r="AP5" s="42" t="str">
        <x:f>IF(AND(33&gt;=$B5,33&lt;=$C5),"■","")</x:f>
      </x:c>
      <x:c r="AQ5" s="42" t="str">
        <x:f>IF(AND(34&gt;=$B5,34&lt;=$C5),"■","")</x:f>
      </x:c>
      <x:c r="AR5" s="42" t="str">
        <x:f>IF(AND(35&gt;=$B5,35&lt;=$C5),"■","")</x:f>
      </x:c>
      <x:c r="AS5" s="42" t="str">
        <x:f>IF(AND(36&gt;=$B5,36&lt;=$C5),"■","")</x:f>
      </x:c>
      <x:c r="AT5" s="42" t="str">
        <x:f>IF(AND(37&gt;=$B5,37&lt;=$C5),"■","")</x:f>
      </x:c>
      <x:c r="AU5" s="42" t="str">
        <x:f>IF(AND(38&gt;=$B5,38&lt;=$C5),"■","")</x:f>
      </x:c>
      <x:c r="AV5" s="42" t="str">
        <x:f>IF(AND(39&gt;=$B5,39&lt;=$C5),"■","")</x:f>
      </x:c>
      <x:c r="AW5" s="15" t="n">
        <x:f>I5-H5+1</x:f>
        <x:v>5</x:v>
      </x:c>
    </x:row>
    <x:row r="6">
      <x:c r="A6" s="15" t="str">
        <x:v>0.2</x:v>
      </x:c>
      <x:c r="B6" s="17" t="n">
        <x:v>1</x:v>
      </x:c>
      <x:c r="C6" s="17" t="n">
        <x:v>2</x:v>
      </x:c>
      <x:c r="D6" s="15" t="str">
        <x:v>Customer/SME concept research; mechanism verdict</x:v>
      </x:c>
      <x:c r="E6" s="15" t="str">
        <x:v>Research/change lead</x:v>
      </x:c>
      <x:c r="F6" s="15" t="str">
        <x:v>Access, customers and SMEs</x:v>
      </x:c>
      <x:c r="G6" s="15" t="str">
        <x:v>Availability / consent</x:v>
      </x:c>
      <x:c r="H6" s="32" t="n">
        <x:f>'Assumptions'!$B$5+7*(B6-1)</x:f>
        <x:v>46300</x:v>
      </x:c>
      <x:c r="I6" s="32" t="n">
        <x:f>MIN('Assumptions'!$B$5+7*C6-3,DATE(2027,6,30))</x:f>
        <x:v>46311</x:v>
      </x:c>
      <x:c r="J6" s="42" t="str">
        <x:f>IF(AND(1&gt;=$B6,1&lt;=$C6),"■","")</x:f>
        <x:v>■</x:v>
      </x:c>
      <x:c r="K6" s="42" t="str">
        <x:f>IF(AND(2&gt;=$B6,2&lt;=$C6),"■","")</x:f>
        <x:v>■</x:v>
      </x:c>
      <x:c r="L6" s="42" t="str">
        <x:f>IF(AND(3&gt;=$B6,3&lt;=$C6),"■","")</x:f>
      </x:c>
      <x:c r="M6" s="42" t="str">
        <x:f>IF(AND(4&gt;=$B6,4&lt;=$C6),"■","")</x:f>
      </x:c>
      <x:c r="N6" s="42" t="str">
        <x:f>IF(AND(5&gt;=$B6,5&lt;=$C6),"■","")</x:f>
      </x:c>
      <x:c r="O6" s="42" t="str">
        <x:f>IF(AND(6&gt;=$B6,6&lt;=$C6),"■","")</x:f>
      </x:c>
      <x:c r="P6" s="42" t="str">
        <x:f>IF(AND(7&gt;=$B6,7&lt;=$C6),"■","")</x:f>
      </x:c>
      <x:c r="Q6" s="42" t="str">
        <x:f>IF(AND(8&gt;=$B6,8&lt;=$C6),"■","")</x:f>
      </x:c>
      <x:c r="R6" s="42" t="str">
        <x:f>IF(AND(9&gt;=$B6,9&lt;=$C6),"■","")</x:f>
      </x:c>
      <x:c r="S6" s="42" t="str">
        <x:f>IF(AND(10&gt;=$B6,10&lt;=$C6),"■","")</x:f>
      </x:c>
      <x:c r="T6" s="42" t="str">
        <x:f>IF(AND(11&gt;=$B6,11&lt;=$C6),"■","")</x:f>
      </x:c>
      <x:c r="U6" s="42" t="str">
        <x:f>IF(AND(12&gt;=$B6,12&lt;=$C6),"■","")</x:f>
      </x:c>
      <x:c r="V6" s="42" t="str">
        <x:f>IF(AND(13&gt;=$B6,13&lt;=$C6),"■","")</x:f>
      </x:c>
      <x:c r="W6" s="42" t="str">
        <x:f>IF(AND(14&gt;=$B6,14&lt;=$C6),"■","")</x:f>
      </x:c>
      <x:c r="X6" s="42" t="str">
        <x:f>IF(AND(15&gt;=$B6,15&lt;=$C6),"■","")</x:f>
      </x:c>
      <x:c r="Y6" s="42" t="str">
        <x:f>IF(AND(16&gt;=$B6,16&lt;=$C6),"■","")</x:f>
      </x:c>
      <x:c r="Z6" s="42" t="str">
        <x:f>IF(AND(17&gt;=$B6,17&lt;=$C6),"■","")</x:f>
      </x:c>
      <x:c r="AA6" s="42" t="str">
        <x:f>IF(AND(18&gt;=$B6,18&lt;=$C6),"■","")</x:f>
      </x:c>
      <x:c r="AB6" s="42" t="str">
        <x:f>IF(AND(19&gt;=$B6,19&lt;=$C6),"■","")</x:f>
      </x:c>
      <x:c r="AC6" s="42" t="str">
        <x:f>IF(AND(20&gt;=$B6,20&lt;=$C6),"■","")</x:f>
      </x:c>
      <x:c r="AD6" s="42" t="str">
        <x:f>IF(AND(21&gt;=$B6,21&lt;=$C6),"■","")</x:f>
      </x:c>
      <x:c r="AE6" s="42" t="str">
        <x:f>IF(AND(22&gt;=$B6,22&lt;=$C6),"■","")</x:f>
      </x:c>
      <x:c r="AF6" s="42" t="str">
        <x:f>IF(AND(23&gt;=$B6,23&lt;=$C6),"■","")</x:f>
      </x:c>
      <x:c r="AG6" s="42" t="str">
        <x:f>IF(AND(24&gt;=$B6,24&lt;=$C6),"■","")</x:f>
      </x:c>
      <x:c r="AH6" s="42" t="str">
        <x:f>IF(AND(25&gt;=$B6,25&lt;=$C6),"■","")</x:f>
      </x:c>
      <x:c r="AI6" s="42" t="str">
        <x:f>IF(AND(26&gt;=$B6,26&lt;=$C6),"■","")</x:f>
      </x:c>
      <x:c r="AJ6" s="42" t="str">
        <x:f>IF(AND(27&gt;=$B6,27&lt;=$C6),"■","")</x:f>
      </x:c>
      <x:c r="AK6" s="42" t="str">
        <x:f>IF(AND(28&gt;=$B6,28&lt;=$C6),"■","")</x:f>
      </x:c>
      <x:c r="AL6" s="42" t="str">
        <x:f>IF(AND(29&gt;=$B6,29&lt;=$C6),"■","")</x:f>
      </x:c>
      <x:c r="AM6" s="42" t="str">
        <x:f>IF(AND(30&gt;=$B6,30&lt;=$C6),"■","")</x:f>
      </x:c>
      <x:c r="AN6" s="42" t="str">
        <x:f>IF(AND(31&gt;=$B6,31&lt;=$C6),"■","")</x:f>
      </x:c>
      <x:c r="AO6" s="42" t="str">
        <x:f>IF(AND(32&gt;=$B6,32&lt;=$C6),"■","")</x:f>
      </x:c>
      <x:c r="AP6" s="42" t="str">
        <x:f>IF(AND(33&gt;=$B6,33&lt;=$C6),"■","")</x:f>
      </x:c>
      <x:c r="AQ6" s="42" t="str">
        <x:f>IF(AND(34&gt;=$B6,34&lt;=$C6),"■","")</x:f>
      </x:c>
      <x:c r="AR6" s="42" t="str">
        <x:f>IF(AND(35&gt;=$B6,35&lt;=$C6),"■","")</x:f>
      </x:c>
      <x:c r="AS6" s="42" t="str">
        <x:f>IF(AND(36&gt;=$B6,36&lt;=$C6),"■","")</x:f>
      </x:c>
      <x:c r="AT6" s="42" t="str">
        <x:f>IF(AND(37&gt;=$B6,37&lt;=$C6),"■","")</x:f>
      </x:c>
      <x:c r="AU6" s="42" t="str">
        <x:f>IF(AND(38&gt;=$B6,38&lt;=$C6),"■","")</x:f>
      </x:c>
      <x:c r="AV6" s="42" t="str">
        <x:f>IF(AND(39&gt;=$B6,39&lt;=$C6),"■","")</x:f>
      </x:c>
      <x:c r="AW6" s="15" t="n">
        <x:f>I6-H6+1</x:f>
        <x:v>12</x:v>
      </x:c>
    </x:row>
    <x:row r="7">
      <x:c r="A7" s="15" t="str">
        <x:v>0.3</x:v>
      </x:c>
      <x:c r="B7" s="17" t="n">
        <x:v>2</x:v>
      </x:c>
      <x:c r="C7" s="17" t="n">
        <x:v>3</x:v>
      </x:c>
      <x:c r="D7" s="15" t="str">
        <x:v>Privacy, legal, security and data-purpose review</x:v>
      </x:c>
      <x:c r="E7" s="15" t="str">
        <x:v>Data/privacy specialist</x:v>
      </x:c>
      <x:c r="F7" s="15" t="str">
        <x:v>Control owners</x:v>
      </x:c>
      <x:c r="G7" s="15" t="str">
        <x:v>Data inventory</x:v>
      </x:c>
      <x:c r="H7" s="32" t="n">
        <x:f>'Assumptions'!$B$5+7*(B7-1)</x:f>
        <x:v>46307</x:v>
      </x:c>
      <x:c r="I7" s="32" t="n">
        <x:f>MIN('Assumptions'!$B$5+7*C7-3,DATE(2027,6,30))</x:f>
        <x:v>46318</x:v>
      </x:c>
      <x:c r="J7" s="42" t="str">
        <x:f>IF(AND(1&gt;=$B7,1&lt;=$C7),"■","")</x:f>
      </x:c>
      <x:c r="K7" s="42" t="str">
        <x:f>IF(AND(2&gt;=$B7,2&lt;=$C7),"■","")</x:f>
        <x:v>■</x:v>
      </x:c>
      <x:c r="L7" s="42" t="str">
        <x:f>IF(AND(3&gt;=$B7,3&lt;=$C7),"■","")</x:f>
        <x:v>■</x:v>
      </x:c>
      <x:c r="M7" s="42" t="str">
        <x:f>IF(AND(4&gt;=$B7,4&lt;=$C7),"■","")</x:f>
      </x:c>
      <x:c r="N7" s="42" t="str">
        <x:f>IF(AND(5&gt;=$B7,5&lt;=$C7),"■","")</x:f>
      </x:c>
      <x:c r="O7" s="42" t="str">
        <x:f>IF(AND(6&gt;=$B7,6&lt;=$C7),"■","")</x:f>
      </x:c>
      <x:c r="P7" s="42" t="str">
        <x:f>IF(AND(7&gt;=$B7,7&lt;=$C7),"■","")</x:f>
      </x:c>
      <x:c r="Q7" s="42" t="str">
        <x:f>IF(AND(8&gt;=$B7,8&lt;=$C7),"■","")</x:f>
      </x:c>
      <x:c r="R7" s="42" t="str">
        <x:f>IF(AND(9&gt;=$B7,9&lt;=$C7),"■","")</x:f>
      </x:c>
      <x:c r="S7" s="42" t="str">
        <x:f>IF(AND(10&gt;=$B7,10&lt;=$C7),"■","")</x:f>
      </x:c>
      <x:c r="T7" s="42" t="str">
        <x:f>IF(AND(11&gt;=$B7,11&lt;=$C7),"■","")</x:f>
      </x:c>
      <x:c r="U7" s="42" t="str">
        <x:f>IF(AND(12&gt;=$B7,12&lt;=$C7),"■","")</x:f>
      </x:c>
      <x:c r="V7" s="42" t="str">
        <x:f>IF(AND(13&gt;=$B7,13&lt;=$C7),"■","")</x:f>
      </x:c>
      <x:c r="W7" s="42" t="str">
        <x:f>IF(AND(14&gt;=$B7,14&lt;=$C7),"■","")</x:f>
      </x:c>
      <x:c r="X7" s="42" t="str">
        <x:f>IF(AND(15&gt;=$B7,15&lt;=$C7),"■","")</x:f>
      </x:c>
      <x:c r="Y7" s="42" t="str">
        <x:f>IF(AND(16&gt;=$B7,16&lt;=$C7),"■","")</x:f>
      </x:c>
      <x:c r="Z7" s="42" t="str">
        <x:f>IF(AND(17&gt;=$B7,17&lt;=$C7),"■","")</x:f>
      </x:c>
      <x:c r="AA7" s="42" t="str">
        <x:f>IF(AND(18&gt;=$B7,18&lt;=$C7),"■","")</x:f>
      </x:c>
      <x:c r="AB7" s="42" t="str">
        <x:f>IF(AND(19&gt;=$B7,19&lt;=$C7),"■","")</x:f>
      </x:c>
      <x:c r="AC7" s="42" t="str">
        <x:f>IF(AND(20&gt;=$B7,20&lt;=$C7),"■","")</x:f>
      </x:c>
      <x:c r="AD7" s="42" t="str">
        <x:f>IF(AND(21&gt;=$B7,21&lt;=$C7),"■","")</x:f>
      </x:c>
      <x:c r="AE7" s="42" t="str">
        <x:f>IF(AND(22&gt;=$B7,22&lt;=$C7),"■","")</x:f>
      </x:c>
      <x:c r="AF7" s="42" t="str">
        <x:f>IF(AND(23&gt;=$B7,23&lt;=$C7),"■","")</x:f>
      </x:c>
      <x:c r="AG7" s="42" t="str">
        <x:f>IF(AND(24&gt;=$B7,24&lt;=$C7),"■","")</x:f>
      </x:c>
      <x:c r="AH7" s="42" t="str">
        <x:f>IF(AND(25&gt;=$B7,25&lt;=$C7),"■","")</x:f>
      </x:c>
      <x:c r="AI7" s="42" t="str">
        <x:f>IF(AND(26&gt;=$B7,26&lt;=$C7),"■","")</x:f>
      </x:c>
      <x:c r="AJ7" s="42" t="str">
        <x:f>IF(AND(27&gt;=$B7,27&lt;=$C7),"■","")</x:f>
      </x:c>
      <x:c r="AK7" s="42" t="str">
        <x:f>IF(AND(28&gt;=$B7,28&lt;=$C7),"■","")</x:f>
      </x:c>
      <x:c r="AL7" s="42" t="str">
        <x:f>IF(AND(29&gt;=$B7,29&lt;=$C7),"■","")</x:f>
      </x:c>
      <x:c r="AM7" s="42" t="str">
        <x:f>IF(AND(30&gt;=$B7,30&lt;=$C7),"■","")</x:f>
      </x:c>
      <x:c r="AN7" s="42" t="str">
        <x:f>IF(AND(31&gt;=$B7,31&lt;=$C7),"■","")</x:f>
      </x:c>
      <x:c r="AO7" s="42" t="str">
        <x:f>IF(AND(32&gt;=$B7,32&lt;=$C7),"■","")</x:f>
      </x:c>
      <x:c r="AP7" s="42" t="str">
        <x:f>IF(AND(33&gt;=$B7,33&lt;=$C7),"■","")</x:f>
      </x:c>
      <x:c r="AQ7" s="42" t="str">
        <x:f>IF(AND(34&gt;=$B7,34&lt;=$C7),"■","")</x:f>
      </x:c>
      <x:c r="AR7" s="42" t="str">
        <x:f>IF(AND(35&gt;=$B7,35&lt;=$C7),"■","")</x:f>
      </x:c>
      <x:c r="AS7" s="42" t="str">
        <x:f>IF(AND(36&gt;=$B7,36&lt;=$C7),"■","")</x:f>
      </x:c>
      <x:c r="AT7" s="42" t="str">
        <x:f>IF(AND(37&gt;=$B7,37&lt;=$C7),"■","")</x:f>
      </x:c>
      <x:c r="AU7" s="42" t="str">
        <x:f>IF(AND(38&gt;=$B7,38&lt;=$C7),"■","")</x:f>
      </x:c>
      <x:c r="AV7" s="42" t="str">
        <x:f>IF(AND(39&gt;=$B7,39&lt;=$C7),"■","")</x:f>
      </x:c>
      <x:c r="AW7" s="15" t="n">
        <x:f>I7-H7+1</x:f>
        <x:v>12</x:v>
      </x:c>
    </x:row>
    <x:row r="8">
      <x:c r="A8" s="15" t="str">
        <x:v>1.1</x:v>
      </x:c>
      <x:c r="B8" s="17" t="n">
        <x:v>4</x:v>
      </x:c>
      <x:c r="C8" s="17" t="n">
        <x:v>5</x:v>
      </x:c>
      <x:c r="D8" s="15" t="str">
        <x:v>Validate AS-IS and pain points; Signavio AS-IS</x:v>
      </x:c>
      <x:c r="E8" s="15" t="str">
        <x:v>Process architect</x:v>
      </x:c>
      <x:c r="F8" s="15" t="str">
        <x:v>Process / frontline SMEs</x:v>
      </x:c>
      <x:c r="G8" s="15" t="str">
        <x:v>M1</x:v>
      </x:c>
      <x:c r="H8" s="32" t="n">
        <x:f>'Assumptions'!$B$5+7*(B8-1)</x:f>
        <x:v>46321</x:v>
      </x:c>
      <x:c r="I8" s="32" t="n">
        <x:f>MIN('Assumptions'!$B$5+7*C8-3,DATE(2027,6,30))</x:f>
        <x:v>46332</x:v>
      </x:c>
      <x:c r="J8" s="42" t="str">
        <x:f>IF(AND(1&gt;=$B8,1&lt;=$C8),"■","")</x:f>
      </x:c>
      <x:c r="K8" s="42" t="str">
        <x:f>IF(AND(2&gt;=$B8,2&lt;=$C8),"■","")</x:f>
      </x:c>
      <x:c r="L8" s="42" t="str">
        <x:f>IF(AND(3&gt;=$B8,3&lt;=$C8),"■","")</x:f>
      </x:c>
      <x:c r="M8" s="42" t="str">
        <x:f>IF(AND(4&gt;=$B8,4&lt;=$C8),"■","")</x:f>
        <x:v>■</x:v>
      </x:c>
      <x:c r="N8" s="42" t="str">
        <x:f>IF(AND(5&gt;=$B8,5&lt;=$C8),"■","")</x:f>
        <x:v>■</x:v>
      </x:c>
      <x:c r="O8" s="42" t="str">
        <x:f>IF(AND(6&gt;=$B8,6&lt;=$C8),"■","")</x:f>
      </x:c>
      <x:c r="P8" s="42" t="str">
        <x:f>IF(AND(7&gt;=$B8,7&lt;=$C8),"■","")</x:f>
      </x:c>
      <x:c r="Q8" s="42" t="str">
        <x:f>IF(AND(8&gt;=$B8,8&lt;=$C8),"■","")</x:f>
      </x:c>
      <x:c r="R8" s="42" t="str">
        <x:f>IF(AND(9&gt;=$B8,9&lt;=$C8),"■","")</x:f>
      </x:c>
      <x:c r="S8" s="42" t="str">
        <x:f>IF(AND(10&gt;=$B8,10&lt;=$C8),"■","")</x:f>
      </x:c>
      <x:c r="T8" s="42" t="str">
        <x:f>IF(AND(11&gt;=$B8,11&lt;=$C8),"■","")</x:f>
      </x:c>
      <x:c r="U8" s="42" t="str">
        <x:f>IF(AND(12&gt;=$B8,12&lt;=$C8),"■","")</x:f>
      </x:c>
      <x:c r="V8" s="42" t="str">
        <x:f>IF(AND(13&gt;=$B8,13&lt;=$C8),"■","")</x:f>
      </x:c>
      <x:c r="W8" s="42" t="str">
        <x:f>IF(AND(14&gt;=$B8,14&lt;=$C8),"■","")</x:f>
      </x:c>
      <x:c r="X8" s="42" t="str">
        <x:f>IF(AND(15&gt;=$B8,15&lt;=$C8),"■","")</x:f>
      </x:c>
      <x:c r="Y8" s="42" t="str">
        <x:f>IF(AND(16&gt;=$B8,16&lt;=$C8),"■","")</x:f>
      </x:c>
      <x:c r="Z8" s="42" t="str">
        <x:f>IF(AND(17&gt;=$B8,17&lt;=$C8),"■","")</x:f>
      </x:c>
      <x:c r="AA8" s="42" t="str">
        <x:f>IF(AND(18&gt;=$B8,18&lt;=$C8),"■","")</x:f>
      </x:c>
      <x:c r="AB8" s="42" t="str">
        <x:f>IF(AND(19&gt;=$B8,19&lt;=$C8),"■","")</x:f>
      </x:c>
      <x:c r="AC8" s="42" t="str">
        <x:f>IF(AND(20&gt;=$B8,20&lt;=$C8),"■","")</x:f>
      </x:c>
      <x:c r="AD8" s="42" t="str">
        <x:f>IF(AND(21&gt;=$B8,21&lt;=$C8),"■","")</x:f>
      </x:c>
      <x:c r="AE8" s="42" t="str">
        <x:f>IF(AND(22&gt;=$B8,22&lt;=$C8),"■","")</x:f>
      </x:c>
      <x:c r="AF8" s="42" t="str">
        <x:f>IF(AND(23&gt;=$B8,23&lt;=$C8),"■","")</x:f>
      </x:c>
      <x:c r="AG8" s="42" t="str">
        <x:f>IF(AND(24&gt;=$B8,24&lt;=$C8),"■","")</x:f>
      </x:c>
      <x:c r="AH8" s="42" t="str">
        <x:f>IF(AND(25&gt;=$B8,25&lt;=$C8),"■","")</x:f>
      </x:c>
      <x:c r="AI8" s="42" t="str">
        <x:f>IF(AND(26&gt;=$B8,26&lt;=$C8),"■","")</x:f>
      </x:c>
      <x:c r="AJ8" s="42" t="str">
        <x:f>IF(AND(27&gt;=$B8,27&lt;=$C8),"■","")</x:f>
      </x:c>
      <x:c r="AK8" s="42" t="str">
        <x:f>IF(AND(28&gt;=$B8,28&lt;=$C8),"■","")</x:f>
      </x:c>
      <x:c r="AL8" s="42" t="str">
        <x:f>IF(AND(29&gt;=$B8,29&lt;=$C8),"■","")</x:f>
      </x:c>
      <x:c r="AM8" s="42" t="str">
        <x:f>IF(AND(30&gt;=$B8,30&lt;=$C8),"■","")</x:f>
      </x:c>
      <x:c r="AN8" s="42" t="str">
        <x:f>IF(AND(31&gt;=$B8,31&lt;=$C8),"■","")</x:f>
      </x:c>
      <x:c r="AO8" s="42" t="str">
        <x:f>IF(AND(32&gt;=$B8,32&lt;=$C8),"■","")</x:f>
      </x:c>
      <x:c r="AP8" s="42" t="str">
        <x:f>IF(AND(33&gt;=$B8,33&lt;=$C8),"■","")</x:f>
      </x:c>
      <x:c r="AQ8" s="42" t="str">
        <x:f>IF(AND(34&gt;=$B8,34&lt;=$C8),"■","")</x:f>
      </x:c>
      <x:c r="AR8" s="42" t="str">
        <x:f>IF(AND(35&gt;=$B8,35&lt;=$C8),"■","")</x:f>
      </x:c>
      <x:c r="AS8" s="42" t="str">
        <x:f>IF(AND(36&gt;=$B8,36&lt;=$C8),"■","")</x:f>
      </x:c>
      <x:c r="AT8" s="42" t="str">
        <x:f>IF(AND(37&gt;=$B8,37&lt;=$C8),"■","")</x:f>
      </x:c>
      <x:c r="AU8" s="42" t="str">
        <x:f>IF(AND(38&gt;=$B8,38&lt;=$C8),"■","")</x:f>
      </x:c>
      <x:c r="AV8" s="42" t="str">
        <x:f>IF(AND(39&gt;=$B8,39&lt;=$C8),"■","")</x:f>
      </x:c>
      <x:c r="AW8" s="15" t="n">
        <x:f>I8-H8+1</x:f>
        <x:v>12</x:v>
      </x:c>
    </x:row>
    <x:row r="9">
      <x:c r="A9" s="15" t="str">
        <x:v>1.2</x:v>
      </x:c>
      <x:c r="B9" s="17" t="n">
        <x:v>4</x:v>
      </x:c>
      <x:c r="C9" s="17" t="n">
        <x:v>7</x:v>
      </x:c>
      <x:c r="D9" s="15" t="str">
        <x:v>Event, reason, cohort and exclusion dictionary</x:v>
      </x:c>
      <x:c r="E9" s="15" t="str">
        <x:v>Data specialist</x:v>
      </x:c>
      <x:c r="F9" s="15" t="str">
        <x:v>CRM / billing / MySpark owners</x:v>
      </x:c>
      <x:c r="G9" s="15" t="str">
        <x:v>Access</x:v>
      </x:c>
      <x:c r="H9" s="32" t="n">
        <x:f>'Assumptions'!$B$5+7*(B9-1)</x:f>
        <x:v>46321</x:v>
      </x:c>
      <x:c r="I9" s="32" t="n">
        <x:f>MIN('Assumptions'!$B$5+7*C9-3,DATE(2027,6,30))</x:f>
        <x:v>46346</x:v>
      </x:c>
      <x:c r="J9" s="42" t="str">
        <x:f>IF(AND(1&gt;=$B9,1&lt;=$C9),"■","")</x:f>
      </x:c>
      <x:c r="K9" s="42" t="str">
        <x:f>IF(AND(2&gt;=$B9,2&lt;=$C9),"■","")</x:f>
      </x:c>
      <x:c r="L9" s="42" t="str">
        <x:f>IF(AND(3&gt;=$B9,3&lt;=$C9),"■","")</x:f>
      </x:c>
      <x:c r="M9" s="42" t="str">
        <x:f>IF(AND(4&gt;=$B9,4&lt;=$C9),"■","")</x:f>
        <x:v>■</x:v>
      </x:c>
      <x:c r="N9" s="42" t="str">
        <x:f>IF(AND(5&gt;=$B9,5&lt;=$C9),"■","")</x:f>
        <x:v>■</x:v>
      </x:c>
      <x:c r="O9" s="42" t="str">
        <x:f>IF(AND(6&gt;=$B9,6&lt;=$C9),"■","")</x:f>
        <x:v>■</x:v>
      </x:c>
      <x:c r="P9" s="42" t="str">
        <x:f>IF(AND(7&gt;=$B9,7&lt;=$C9),"■","")</x:f>
        <x:v>■</x:v>
      </x:c>
      <x:c r="Q9" s="42" t="str">
        <x:f>IF(AND(8&gt;=$B9,8&lt;=$C9),"■","")</x:f>
      </x:c>
      <x:c r="R9" s="42" t="str">
        <x:f>IF(AND(9&gt;=$B9,9&lt;=$C9),"■","")</x:f>
      </x:c>
      <x:c r="S9" s="42" t="str">
        <x:f>IF(AND(10&gt;=$B9,10&lt;=$C9),"■","")</x:f>
      </x:c>
      <x:c r="T9" s="42" t="str">
        <x:f>IF(AND(11&gt;=$B9,11&lt;=$C9),"■","")</x:f>
      </x:c>
      <x:c r="U9" s="42" t="str">
        <x:f>IF(AND(12&gt;=$B9,12&lt;=$C9),"■","")</x:f>
      </x:c>
      <x:c r="V9" s="42" t="str">
        <x:f>IF(AND(13&gt;=$B9,13&lt;=$C9),"■","")</x:f>
      </x:c>
      <x:c r="W9" s="42" t="str">
        <x:f>IF(AND(14&gt;=$B9,14&lt;=$C9),"■","")</x:f>
      </x:c>
      <x:c r="X9" s="42" t="str">
        <x:f>IF(AND(15&gt;=$B9,15&lt;=$C9),"■","")</x:f>
      </x:c>
      <x:c r="Y9" s="42" t="str">
        <x:f>IF(AND(16&gt;=$B9,16&lt;=$C9),"■","")</x:f>
      </x:c>
      <x:c r="Z9" s="42" t="str">
        <x:f>IF(AND(17&gt;=$B9,17&lt;=$C9),"■","")</x:f>
      </x:c>
      <x:c r="AA9" s="42" t="str">
        <x:f>IF(AND(18&gt;=$B9,18&lt;=$C9),"■","")</x:f>
      </x:c>
      <x:c r="AB9" s="42" t="str">
        <x:f>IF(AND(19&gt;=$B9,19&lt;=$C9),"■","")</x:f>
      </x:c>
      <x:c r="AC9" s="42" t="str">
        <x:f>IF(AND(20&gt;=$B9,20&lt;=$C9),"■","")</x:f>
      </x:c>
      <x:c r="AD9" s="42" t="str">
        <x:f>IF(AND(21&gt;=$B9,21&lt;=$C9),"■","")</x:f>
      </x:c>
      <x:c r="AE9" s="42" t="str">
        <x:f>IF(AND(22&gt;=$B9,22&lt;=$C9),"■","")</x:f>
      </x:c>
      <x:c r="AF9" s="42" t="str">
        <x:f>IF(AND(23&gt;=$B9,23&lt;=$C9),"■","")</x:f>
      </x:c>
      <x:c r="AG9" s="42" t="str">
        <x:f>IF(AND(24&gt;=$B9,24&lt;=$C9),"■","")</x:f>
      </x:c>
      <x:c r="AH9" s="42" t="str">
        <x:f>IF(AND(25&gt;=$B9,25&lt;=$C9),"■","")</x:f>
      </x:c>
      <x:c r="AI9" s="42" t="str">
        <x:f>IF(AND(26&gt;=$B9,26&lt;=$C9),"■","")</x:f>
      </x:c>
      <x:c r="AJ9" s="42" t="str">
        <x:f>IF(AND(27&gt;=$B9,27&lt;=$C9),"■","")</x:f>
      </x:c>
      <x:c r="AK9" s="42" t="str">
        <x:f>IF(AND(28&gt;=$B9,28&lt;=$C9),"■","")</x:f>
      </x:c>
      <x:c r="AL9" s="42" t="str">
        <x:f>IF(AND(29&gt;=$B9,29&lt;=$C9),"■","")</x:f>
      </x:c>
      <x:c r="AM9" s="42" t="str">
        <x:f>IF(AND(30&gt;=$B9,30&lt;=$C9),"■","")</x:f>
      </x:c>
      <x:c r="AN9" s="42" t="str">
        <x:f>IF(AND(31&gt;=$B9,31&lt;=$C9),"■","")</x:f>
      </x:c>
      <x:c r="AO9" s="42" t="str">
        <x:f>IF(AND(32&gt;=$B9,32&lt;=$C9),"■","")</x:f>
      </x:c>
      <x:c r="AP9" s="42" t="str">
        <x:f>IF(AND(33&gt;=$B9,33&lt;=$C9),"■","")</x:f>
      </x:c>
      <x:c r="AQ9" s="42" t="str">
        <x:f>IF(AND(34&gt;=$B9,34&lt;=$C9),"■","")</x:f>
      </x:c>
      <x:c r="AR9" s="42" t="str">
        <x:f>IF(AND(35&gt;=$B9,35&lt;=$C9),"■","")</x:f>
      </x:c>
      <x:c r="AS9" s="42" t="str">
        <x:f>IF(AND(36&gt;=$B9,36&lt;=$C9),"■","")</x:f>
      </x:c>
      <x:c r="AT9" s="42" t="str">
        <x:f>IF(AND(37&gt;=$B9,37&lt;=$C9),"■","")</x:f>
      </x:c>
      <x:c r="AU9" s="42" t="str">
        <x:f>IF(AND(38&gt;=$B9,38&lt;=$C9),"■","")</x:f>
      </x:c>
      <x:c r="AV9" s="42" t="str">
        <x:f>IF(AND(39&gt;=$B9,39&lt;=$C9),"■","")</x:f>
      </x:c>
      <x:c r="AW9" s="15" t="n">
        <x:f>I9-H9+1</x:f>
        <x:v>26</x:v>
      </x:c>
    </x:row>
    <x:row r="10">
      <x:c r="A10" s="15" t="str">
        <x:v>1.3</x:v>
      </x:c>
      <x:c r="B10" s="17" t="n">
        <x:v>6</x:v>
      </x:c>
      <x:c r="C10" s="17" t="n">
        <x:v>7</x:v>
      </x:c>
      <x:c r="D10" s="15" t="str">
        <x:v>Baselines, power and economic calibration</x:v>
      </x:c>
      <x:c r="E10" s="15" t="str">
        <x:v>Data / finance specialists</x:v>
      </x:c>
      <x:c r="F10" s="15" t="str">
        <x:v>Finance benefits owner</x:v>
      </x:c>
      <x:c r="G10" s="15" t="str">
        <x:v>Sufficient data</x:v>
      </x:c>
      <x:c r="H10" s="32" t="n">
        <x:f>'Assumptions'!$B$5+7*(B10-1)</x:f>
        <x:v>46335</x:v>
      </x:c>
      <x:c r="I10" s="32" t="n">
        <x:f>MIN('Assumptions'!$B$5+7*C10-3,DATE(2027,6,30))</x:f>
        <x:v>46346</x:v>
      </x:c>
      <x:c r="J10" s="42" t="str">
        <x:f>IF(AND(1&gt;=$B10,1&lt;=$C10),"■","")</x:f>
      </x:c>
      <x:c r="K10" s="42" t="str">
        <x:f>IF(AND(2&gt;=$B10,2&lt;=$C10),"■","")</x:f>
      </x:c>
      <x:c r="L10" s="42" t="str">
        <x:f>IF(AND(3&gt;=$B10,3&lt;=$C10),"■","")</x:f>
      </x:c>
      <x:c r="M10" s="42" t="str">
        <x:f>IF(AND(4&gt;=$B10,4&lt;=$C10),"■","")</x:f>
      </x:c>
      <x:c r="N10" s="42" t="str">
        <x:f>IF(AND(5&gt;=$B10,5&lt;=$C10),"■","")</x:f>
      </x:c>
      <x:c r="O10" s="42" t="str">
        <x:f>IF(AND(6&gt;=$B10,6&lt;=$C10),"■","")</x:f>
        <x:v>■</x:v>
      </x:c>
      <x:c r="P10" s="42" t="str">
        <x:f>IF(AND(7&gt;=$B10,7&lt;=$C10),"■","")</x:f>
        <x:v>■</x:v>
      </x:c>
      <x:c r="Q10" s="42" t="str">
        <x:f>IF(AND(8&gt;=$B10,8&lt;=$C10),"■","")</x:f>
      </x:c>
      <x:c r="R10" s="42" t="str">
        <x:f>IF(AND(9&gt;=$B10,9&lt;=$C10),"■","")</x:f>
      </x:c>
      <x:c r="S10" s="42" t="str">
        <x:f>IF(AND(10&gt;=$B10,10&lt;=$C10),"■","")</x:f>
      </x:c>
      <x:c r="T10" s="42" t="str">
        <x:f>IF(AND(11&gt;=$B10,11&lt;=$C10),"■","")</x:f>
      </x:c>
      <x:c r="U10" s="42" t="str">
        <x:f>IF(AND(12&gt;=$B10,12&lt;=$C10),"■","")</x:f>
      </x:c>
      <x:c r="V10" s="42" t="str">
        <x:f>IF(AND(13&gt;=$B10,13&lt;=$C10),"■","")</x:f>
      </x:c>
      <x:c r="W10" s="42" t="str">
        <x:f>IF(AND(14&gt;=$B10,14&lt;=$C10),"■","")</x:f>
      </x:c>
      <x:c r="X10" s="42" t="str">
        <x:f>IF(AND(15&gt;=$B10,15&lt;=$C10),"■","")</x:f>
      </x:c>
      <x:c r="Y10" s="42" t="str">
        <x:f>IF(AND(16&gt;=$B10,16&lt;=$C10),"■","")</x:f>
      </x:c>
      <x:c r="Z10" s="42" t="str">
        <x:f>IF(AND(17&gt;=$B10,17&lt;=$C10),"■","")</x:f>
      </x:c>
      <x:c r="AA10" s="42" t="str">
        <x:f>IF(AND(18&gt;=$B10,18&lt;=$C10),"■","")</x:f>
      </x:c>
      <x:c r="AB10" s="42" t="str">
        <x:f>IF(AND(19&gt;=$B10,19&lt;=$C10),"■","")</x:f>
      </x:c>
      <x:c r="AC10" s="42" t="str">
        <x:f>IF(AND(20&gt;=$B10,20&lt;=$C10),"■","")</x:f>
      </x:c>
      <x:c r="AD10" s="42" t="str">
        <x:f>IF(AND(21&gt;=$B10,21&lt;=$C10),"■","")</x:f>
      </x:c>
      <x:c r="AE10" s="42" t="str">
        <x:f>IF(AND(22&gt;=$B10,22&lt;=$C10),"■","")</x:f>
      </x:c>
      <x:c r="AF10" s="42" t="str">
        <x:f>IF(AND(23&gt;=$B10,23&lt;=$C10),"■","")</x:f>
      </x:c>
      <x:c r="AG10" s="42" t="str">
        <x:f>IF(AND(24&gt;=$B10,24&lt;=$C10),"■","")</x:f>
      </x:c>
      <x:c r="AH10" s="42" t="str">
        <x:f>IF(AND(25&gt;=$B10,25&lt;=$C10),"■","")</x:f>
      </x:c>
      <x:c r="AI10" s="42" t="str">
        <x:f>IF(AND(26&gt;=$B10,26&lt;=$C10),"■","")</x:f>
      </x:c>
      <x:c r="AJ10" s="42" t="str">
        <x:f>IF(AND(27&gt;=$B10,27&lt;=$C10),"■","")</x:f>
      </x:c>
      <x:c r="AK10" s="42" t="str">
        <x:f>IF(AND(28&gt;=$B10,28&lt;=$C10),"■","")</x:f>
      </x:c>
      <x:c r="AL10" s="42" t="str">
        <x:f>IF(AND(29&gt;=$B10,29&lt;=$C10),"■","")</x:f>
      </x:c>
      <x:c r="AM10" s="42" t="str">
        <x:f>IF(AND(30&gt;=$B10,30&lt;=$C10),"■","")</x:f>
      </x:c>
      <x:c r="AN10" s="42" t="str">
        <x:f>IF(AND(31&gt;=$B10,31&lt;=$C10),"■","")</x:f>
      </x:c>
      <x:c r="AO10" s="42" t="str">
        <x:f>IF(AND(32&gt;=$B10,32&lt;=$C10),"■","")</x:f>
      </x:c>
      <x:c r="AP10" s="42" t="str">
        <x:f>IF(AND(33&gt;=$B10,33&lt;=$C10),"■","")</x:f>
      </x:c>
      <x:c r="AQ10" s="42" t="str">
        <x:f>IF(AND(34&gt;=$B10,34&lt;=$C10),"■","")</x:f>
      </x:c>
      <x:c r="AR10" s="42" t="str">
        <x:f>IF(AND(35&gt;=$B10,35&lt;=$C10),"■","")</x:f>
      </x:c>
      <x:c r="AS10" s="42" t="str">
        <x:f>IF(AND(36&gt;=$B10,36&lt;=$C10),"■","")</x:f>
      </x:c>
      <x:c r="AT10" s="42" t="str">
        <x:f>IF(AND(37&gt;=$B10,37&lt;=$C10),"■","")</x:f>
      </x:c>
      <x:c r="AU10" s="42" t="str">
        <x:f>IF(AND(38&gt;=$B10,38&lt;=$C10),"■","")</x:f>
      </x:c>
      <x:c r="AV10" s="42" t="str">
        <x:f>IF(AND(39&gt;=$B10,39&lt;=$C10),"■","")</x:f>
      </x:c>
      <x:c r="AW10" s="15" t="n">
        <x:f>I10-H10+1</x:f>
        <x:v>12</x:v>
      </x:c>
    </x:row>
    <x:row r="11">
      <x:c r="A11" s="15" t="str">
        <x:v>2.1</x:v>
      </x:c>
      <x:c r="B11" s="17" t="n">
        <x:v>8</x:v>
      </x:c>
      <x:c r="C11" s="17" t="n">
        <x:v>9</x:v>
      </x:c>
      <x:c r="D11" s="15" t="str">
        <x:v>Co-design matched outputs; tested prototype</x:v>
      </x:c>
      <x:c r="E11" s="15" t="str">
        <x:v>UX/change lead</x:v>
      </x:c>
      <x:c r="F11" s="15" t="str">
        <x:v>Product / care / privacy SMEs</x:v>
      </x:c>
      <x:c r="G11" s="15" t="str">
        <x:v>M2</x:v>
      </x:c>
      <x:c r="H11" s="32" t="n">
        <x:f>'Assumptions'!$B$5+7*(B11-1)</x:f>
        <x:v>46349</x:v>
      </x:c>
      <x:c r="I11" s="32" t="n">
        <x:f>MIN('Assumptions'!$B$5+7*C11-3,DATE(2027,6,30))</x:f>
        <x:v>46360</x:v>
      </x:c>
      <x:c r="J11" s="42" t="str">
        <x:f>IF(AND(1&gt;=$B11,1&lt;=$C11),"■","")</x:f>
      </x:c>
      <x:c r="K11" s="42" t="str">
        <x:f>IF(AND(2&gt;=$B11,2&lt;=$C11),"■","")</x:f>
      </x:c>
      <x:c r="L11" s="42" t="str">
        <x:f>IF(AND(3&gt;=$B11,3&lt;=$C11),"■","")</x:f>
      </x:c>
      <x:c r="M11" s="42" t="str">
        <x:f>IF(AND(4&gt;=$B11,4&lt;=$C11),"■","")</x:f>
      </x:c>
      <x:c r="N11" s="42" t="str">
        <x:f>IF(AND(5&gt;=$B11,5&lt;=$C11),"■","")</x:f>
      </x:c>
      <x:c r="O11" s="42" t="str">
        <x:f>IF(AND(6&gt;=$B11,6&lt;=$C11),"■","")</x:f>
      </x:c>
      <x:c r="P11" s="42" t="str">
        <x:f>IF(AND(7&gt;=$B11,7&lt;=$C11),"■","")</x:f>
      </x:c>
      <x:c r="Q11" s="42" t="str">
        <x:f>IF(AND(8&gt;=$B11,8&lt;=$C11),"■","")</x:f>
        <x:v>■</x:v>
      </x:c>
      <x:c r="R11" s="42" t="str">
        <x:f>IF(AND(9&gt;=$B11,9&lt;=$C11),"■","")</x:f>
        <x:v>■</x:v>
      </x:c>
      <x:c r="S11" s="42" t="str">
        <x:f>IF(AND(10&gt;=$B11,10&lt;=$C11),"■","")</x:f>
      </x:c>
      <x:c r="T11" s="42" t="str">
        <x:f>IF(AND(11&gt;=$B11,11&lt;=$C11),"■","")</x:f>
      </x:c>
      <x:c r="U11" s="42" t="str">
        <x:f>IF(AND(12&gt;=$B11,12&lt;=$C11),"■","")</x:f>
      </x:c>
      <x:c r="V11" s="42" t="str">
        <x:f>IF(AND(13&gt;=$B11,13&lt;=$C11),"■","")</x:f>
      </x:c>
      <x:c r="W11" s="42" t="str">
        <x:f>IF(AND(14&gt;=$B11,14&lt;=$C11),"■","")</x:f>
      </x:c>
      <x:c r="X11" s="42" t="str">
        <x:f>IF(AND(15&gt;=$B11,15&lt;=$C11),"■","")</x:f>
      </x:c>
      <x:c r="Y11" s="42" t="str">
        <x:f>IF(AND(16&gt;=$B11,16&lt;=$C11),"■","")</x:f>
      </x:c>
      <x:c r="Z11" s="42" t="str">
        <x:f>IF(AND(17&gt;=$B11,17&lt;=$C11),"■","")</x:f>
      </x:c>
      <x:c r="AA11" s="42" t="str">
        <x:f>IF(AND(18&gt;=$B11,18&lt;=$C11),"■","")</x:f>
      </x:c>
      <x:c r="AB11" s="42" t="str">
        <x:f>IF(AND(19&gt;=$B11,19&lt;=$C11),"■","")</x:f>
      </x:c>
      <x:c r="AC11" s="42" t="str">
        <x:f>IF(AND(20&gt;=$B11,20&lt;=$C11),"■","")</x:f>
      </x:c>
      <x:c r="AD11" s="42" t="str">
        <x:f>IF(AND(21&gt;=$B11,21&lt;=$C11),"■","")</x:f>
      </x:c>
      <x:c r="AE11" s="42" t="str">
        <x:f>IF(AND(22&gt;=$B11,22&lt;=$C11),"■","")</x:f>
      </x:c>
      <x:c r="AF11" s="42" t="str">
        <x:f>IF(AND(23&gt;=$B11,23&lt;=$C11),"■","")</x:f>
      </x:c>
      <x:c r="AG11" s="42" t="str">
        <x:f>IF(AND(24&gt;=$B11,24&lt;=$C11),"■","")</x:f>
      </x:c>
      <x:c r="AH11" s="42" t="str">
        <x:f>IF(AND(25&gt;=$B11,25&lt;=$C11),"■","")</x:f>
      </x:c>
      <x:c r="AI11" s="42" t="str">
        <x:f>IF(AND(26&gt;=$B11,26&lt;=$C11),"■","")</x:f>
      </x:c>
      <x:c r="AJ11" s="42" t="str">
        <x:f>IF(AND(27&gt;=$B11,27&lt;=$C11),"■","")</x:f>
      </x:c>
      <x:c r="AK11" s="42" t="str">
        <x:f>IF(AND(28&gt;=$B11,28&lt;=$C11),"■","")</x:f>
      </x:c>
      <x:c r="AL11" s="42" t="str">
        <x:f>IF(AND(29&gt;=$B11,29&lt;=$C11),"■","")</x:f>
      </x:c>
      <x:c r="AM11" s="42" t="str">
        <x:f>IF(AND(30&gt;=$B11,30&lt;=$C11),"■","")</x:f>
      </x:c>
      <x:c r="AN11" s="42" t="str">
        <x:f>IF(AND(31&gt;=$B11,31&lt;=$C11),"■","")</x:f>
      </x:c>
      <x:c r="AO11" s="42" t="str">
        <x:f>IF(AND(32&gt;=$B11,32&lt;=$C11),"■","")</x:f>
      </x:c>
      <x:c r="AP11" s="42" t="str">
        <x:f>IF(AND(33&gt;=$B11,33&lt;=$C11),"■","")</x:f>
      </x:c>
      <x:c r="AQ11" s="42" t="str">
        <x:f>IF(AND(34&gt;=$B11,34&lt;=$C11),"■","")</x:f>
      </x:c>
      <x:c r="AR11" s="42" t="str">
        <x:f>IF(AND(35&gt;=$B11,35&lt;=$C11),"■","")</x:f>
      </x:c>
      <x:c r="AS11" s="42" t="str">
        <x:f>IF(AND(36&gt;=$B11,36&lt;=$C11),"■","")</x:f>
      </x:c>
      <x:c r="AT11" s="42" t="str">
        <x:f>IF(AND(37&gt;=$B11,37&lt;=$C11),"■","")</x:f>
      </x:c>
      <x:c r="AU11" s="42" t="str">
        <x:f>IF(AND(38&gt;=$B11,38&lt;=$C11),"■","")</x:f>
      </x:c>
      <x:c r="AV11" s="42" t="str">
        <x:f>IF(AND(39&gt;=$B11,39&lt;=$C11),"■","")</x:f>
      </x:c>
      <x:c r="AW11" s="15" t="n">
        <x:f>I11-H11+1</x:f>
        <x:v>12</x:v>
      </x:c>
    </x:row>
    <x:row r="12">
      <x:c r="A12" s="15" t="str">
        <x:v>2.2</x:v>
      </x:c>
      <x:c r="B12" s="17" t="n">
        <x:v>9</x:v>
      </x:c>
      <x:c r="C12" s="17" t="n">
        <x:v>11</x:v>
      </x:c>
      <x:c r="D12" s="15" t="str">
        <x:v>Finalise arms, rules, FURPS and TO-BE</x:v>
      </x:c>
      <x:c r="E12" s="15" t="str">
        <x:v>Process / solution architect</x:v>
      </x:c>
      <x:c r="F12" s="15" t="str">
        <x:v>Product / technology / privacy</x:v>
      </x:c>
      <x:c r="G12" s="15" t="str">
        <x:v>Prototype findings</x:v>
      </x:c>
      <x:c r="H12" s="32" t="n">
        <x:f>'Assumptions'!$B$5+7*(B12-1)</x:f>
        <x:v>46356</x:v>
      </x:c>
      <x:c r="I12" s="32" t="n">
        <x:f>MIN('Assumptions'!$B$5+7*C12-3,DATE(2027,6,30))</x:f>
        <x:v>46374</x:v>
      </x:c>
      <x:c r="J12" s="42" t="str">
        <x:f>IF(AND(1&gt;=$B12,1&lt;=$C12),"■","")</x:f>
      </x:c>
      <x:c r="K12" s="42" t="str">
        <x:f>IF(AND(2&gt;=$B12,2&lt;=$C12),"■","")</x:f>
      </x:c>
      <x:c r="L12" s="42" t="str">
        <x:f>IF(AND(3&gt;=$B12,3&lt;=$C12),"■","")</x:f>
      </x:c>
      <x:c r="M12" s="42" t="str">
        <x:f>IF(AND(4&gt;=$B12,4&lt;=$C12),"■","")</x:f>
      </x:c>
      <x:c r="N12" s="42" t="str">
        <x:f>IF(AND(5&gt;=$B12,5&lt;=$C12),"■","")</x:f>
      </x:c>
      <x:c r="O12" s="42" t="str">
        <x:f>IF(AND(6&gt;=$B12,6&lt;=$C12),"■","")</x:f>
      </x:c>
      <x:c r="P12" s="42" t="str">
        <x:f>IF(AND(7&gt;=$B12,7&lt;=$C12),"■","")</x:f>
      </x:c>
      <x:c r="Q12" s="42" t="str">
        <x:f>IF(AND(8&gt;=$B12,8&lt;=$C12),"■","")</x:f>
      </x:c>
      <x:c r="R12" s="42" t="str">
        <x:f>IF(AND(9&gt;=$B12,9&lt;=$C12),"■","")</x:f>
        <x:v>■</x:v>
      </x:c>
      <x:c r="S12" s="42" t="str">
        <x:f>IF(AND(10&gt;=$B12,10&lt;=$C12),"■","")</x:f>
        <x:v>■</x:v>
      </x:c>
      <x:c r="T12" s="42" t="str">
        <x:f>IF(AND(11&gt;=$B12,11&lt;=$C12),"■","")</x:f>
        <x:v>■</x:v>
      </x:c>
      <x:c r="U12" s="42" t="str">
        <x:f>IF(AND(12&gt;=$B12,12&lt;=$C12),"■","")</x:f>
      </x:c>
      <x:c r="V12" s="42" t="str">
        <x:f>IF(AND(13&gt;=$B12,13&lt;=$C12),"■","")</x:f>
      </x:c>
      <x:c r="W12" s="42" t="str">
        <x:f>IF(AND(14&gt;=$B12,14&lt;=$C12),"■","")</x:f>
      </x:c>
      <x:c r="X12" s="42" t="str">
        <x:f>IF(AND(15&gt;=$B12,15&lt;=$C12),"■","")</x:f>
      </x:c>
      <x:c r="Y12" s="42" t="str">
        <x:f>IF(AND(16&gt;=$B12,16&lt;=$C12),"■","")</x:f>
      </x:c>
      <x:c r="Z12" s="42" t="str">
        <x:f>IF(AND(17&gt;=$B12,17&lt;=$C12),"■","")</x:f>
      </x:c>
      <x:c r="AA12" s="42" t="str">
        <x:f>IF(AND(18&gt;=$B12,18&lt;=$C12),"■","")</x:f>
      </x:c>
      <x:c r="AB12" s="42" t="str">
        <x:f>IF(AND(19&gt;=$B12,19&lt;=$C12),"■","")</x:f>
      </x:c>
      <x:c r="AC12" s="42" t="str">
        <x:f>IF(AND(20&gt;=$B12,20&lt;=$C12),"■","")</x:f>
      </x:c>
      <x:c r="AD12" s="42" t="str">
        <x:f>IF(AND(21&gt;=$B12,21&lt;=$C12),"■","")</x:f>
      </x:c>
      <x:c r="AE12" s="42" t="str">
        <x:f>IF(AND(22&gt;=$B12,22&lt;=$C12),"■","")</x:f>
      </x:c>
      <x:c r="AF12" s="42" t="str">
        <x:f>IF(AND(23&gt;=$B12,23&lt;=$C12),"■","")</x:f>
      </x:c>
      <x:c r="AG12" s="42" t="str">
        <x:f>IF(AND(24&gt;=$B12,24&lt;=$C12),"■","")</x:f>
      </x:c>
      <x:c r="AH12" s="42" t="str">
        <x:f>IF(AND(25&gt;=$B12,25&lt;=$C12),"■","")</x:f>
      </x:c>
      <x:c r="AI12" s="42" t="str">
        <x:f>IF(AND(26&gt;=$B12,26&lt;=$C12),"■","")</x:f>
      </x:c>
      <x:c r="AJ12" s="42" t="str">
        <x:f>IF(AND(27&gt;=$B12,27&lt;=$C12),"■","")</x:f>
      </x:c>
      <x:c r="AK12" s="42" t="str">
        <x:f>IF(AND(28&gt;=$B12,28&lt;=$C12),"■","")</x:f>
      </x:c>
      <x:c r="AL12" s="42" t="str">
        <x:f>IF(AND(29&gt;=$B12,29&lt;=$C12),"■","")</x:f>
      </x:c>
      <x:c r="AM12" s="42" t="str">
        <x:f>IF(AND(30&gt;=$B12,30&lt;=$C12),"■","")</x:f>
      </x:c>
      <x:c r="AN12" s="42" t="str">
        <x:f>IF(AND(31&gt;=$B12,31&lt;=$C12),"■","")</x:f>
      </x:c>
      <x:c r="AO12" s="42" t="str">
        <x:f>IF(AND(32&gt;=$B12,32&lt;=$C12),"■","")</x:f>
      </x:c>
      <x:c r="AP12" s="42" t="str">
        <x:f>IF(AND(33&gt;=$B12,33&lt;=$C12),"■","")</x:f>
      </x:c>
      <x:c r="AQ12" s="42" t="str">
        <x:f>IF(AND(34&gt;=$B12,34&lt;=$C12),"■","")</x:f>
      </x:c>
      <x:c r="AR12" s="42" t="str">
        <x:f>IF(AND(35&gt;=$B12,35&lt;=$C12),"■","")</x:f>
      </x:c>
      <x:c r="AS12" s="42" t="str">
        <x:f>IF(AND(36&gt;=$B12,36&lt;=$C12),"■","")</x:f>
      </x:c>
      <x:c r="AT12" s="42" t="str">
        <x:f>IF(AND(37&gt;=$B12,37&lt;=$C12),"■","")</x:f>
      </x:c>
      <x:c r="AU12" s="42" t="str">
        <x:f>IF(AND(38&gt;=$B12,38&lt;=$C12),"■","")</x:f>
      </x:c>
      <x:c r="AV12" s="42" t="str">
        <x:f>IF(AND(39&gt;=$B12,39&lt;=$C12),"■","")</x:f>
      </x:c>
      <x:c r="AW12" s="15" t="n">
        <x:f>I12-H12+1</x:f>
        <x:v>19</x:v>
      </x:c>
    </x:row>
    <x:row r="13">
      <x:c r="A13" s="15" t="str">
        <x:v>2.3</x:v>
      </x:c>
      <x:c r="B13" s="17" t="n">
        <x:v>10</x:v>
      </x:c>
      <x:c r="C13" s="17" t="n">
        <x:v>11</x:v>
      </x:c>
      <x:c r="D13" s="15" t="str">
        <x:v>Update risk, cost and value case</x:v>
      </x:c>
      <x:c r="E13" s="15" t="str">
        <x:v>Engagement manager</x:v>
      </x:c>
      <x:c r="F13" s="15" t="str">
        <x:v>Finance / sponsor</x:v>
      </x:c>
      <x:c r="G13" s="15" t="str">
        <x:v>Design</x:v>
      </x:c>
      <x:c r="H13" s="32" t="n">
        <x:f>'Assumptions'!$B$5+7*(B13-1)</x:f>
        <x:v>46363</x:v>
      </x:c>
      <x:c r="I13" s="32" t="n">
        <x:f>MIN('Assumptions'!$B$5+7*C13-3,DATE(2027,6,30))</x:f>
        <x:v>46374</x:v>
      </x:c>
      <x:c r="J13" s="42" t="str">
        <x:f>IF(AND(1&gt;=$B13,1&lt;=$C13),"■","")</x:f>
      </x:c>
      <x:c r="K13" s="42" t="str">
        <x:f>IF(AND(2&gt;=$B13,2&lt;=$C13),"■","")</x:f>
      </x:c>
      <x:c r="L13" s="42" t="str">
        <x:f>IF(AND(3&gt;=$B13,3&lt;=$C13),"■","")</x:f>
      </x:c>
      <x:c r="M13" s="42" t="str">
        <x:f>IF(AND(4&gt;=$B13,4&lt;=$C13),"■","")</x:f>
      </x:c>
      <x:c r="N13" s="42" t="str">
        <x:f>IF(AND(5&gt;=$B13,5&lt;=$C13),"■","")</x:f>
      </x:c>
      <x:c r="O13" s="42" t="str">
        <x:f>IF(AND(6&gt;=$B13,6&lt;=$C13),"■","")</x:f>
      </x:c>
      <x:c r="P13" s="42" t="str">
        <x:f>IF(AND(7&gt;=$B13,7&lt;=$C13),"■","")</x:f>
      </x:c>
      <x:c r="Q13" s="42" t="str">
        <x:f>IF(AND(8&gt;=$B13,8&lt;=$C13),"■","")</x:f>
      </x:c>
      <x:c r="R13" s="42" t="str">
        <x:f>IF(AND(9&gt;=$B13,9&lt;=$C13),"■","")</x:f>
      </x:c>
      <x:c r="S13" s="42" t="str">
        <x:f>IF(AND(10&gt;=$B13,10&lt;=$C13),"■","")</x:f>
        <x:v>■</x:v>
      </x:c>
      <x:c r="T13" s="42" t="str">
        <x:f>IF(AND(11&gt;=$B13,11&lt;=$C13),"■","")</x:f>
        <x:v>■</x:v>
      </x:c>
      <x:c r="U13" s="42" t="str">
        <x:f>IF(AND(12&gt;=$B13,12&lt;=$C13),"■","")</x:f>
      </x:c>
      <x:c r="V13" s="42" t="str">
        <x:f>IF(AND(13&gt;=$B13,13&lt;=$C13),"■","")</x:f>
      </x:c>
      <x:c r="W13" s="42" t="str">
        <x:f>IF(AND(14&gt;=$B13,14&lt;=$C13),"■","")</x:f>
      </x:c>
      <x:c r="X13" s="42" t="str">
        <x:f>IF(AND(15&gt;=$B13,15&lt;=$C13),"■","")</x:f>
      </x:c>
      <x:c r="Y13" s="42" t="str">
        <x:f>IF(AND(16&gt;=$B13,16&lt;=$C13),"■","")</x:f>
      </x:c>
      <x:c r="Z13" s="42" t="str">
        <x:f>IF(AND(17&gt;=$B13,17&lt;=$C13),"■","")</x:f>
      </x:c>
      <x:c r="AA13" s="42" t="str">
        <x:f>IF(AND(18&gt;=$B13,18&lt;=$C13),"■","")</x:f>
      </x:c>
      <x:c r="AB13" s="42" t="str">
        <x:f>IF(AND(19&gt;=$B13,19&lt;=$C13),"■","")</x:f>
      </x:c>
      <x:c r="AC13" s="42" t="str">
        <x:f>IF(AND(20&gt;=$B13,20&lt;=$C13),"■","")</x:f>
      </x:c>
      <x:c r="AD13" s="42" t="str">
        <x:f>IF(AND(21&gt;=$B13,21&lt;=$C13),"■","")</x:f>
      </x:c>
      <x:c r="AE13" s="42" t="str">
        <x:f>IF(AND(22&gt;=$B13,22&lt;=$C13),"■","")</x:f>
      </x:c>
      <x:c r="AF13" s="42" t="str">
        <x:f>IF(AND(23&gt;=$B13,23&lt;=$C13),"■","")</x:f>
      </x:c>
      <x:c r="AG13" s="42" t="str">
        <x:f>IF(AND(24&gt;=$B13,24&lt;=$C13),"■","")</x:f>
      </x:c>
      <x:c r="AH13" s="42" t="str">
        <x:f>IF(AND(25&gt;=$B13,25&lt;=$C13),"■","")</x:f>
      </x:c>
      <x:c r="AI13" s="42" t="str">
        <x:f>IF(AND(26&gt;=$B13,26&lt;=$C13),"■","")</x:f>
      </x:c>
      <x:c r="AJ13" s="42" t="str">
        <x:f>IF(AND(27&gt;=$B13,27&lt;=$C13),"■","")</x:f>
      </x:c>
      <x:c r="AK13" s="42" t="str">
        <x:f>IF(AND(28&gt;=$B13,28&lt;=$C13),"■","")</x:f>
      </x:c>
      <x:c r="AL13" s="42" t="str">
        <x:f>IF(AND(29&gt;=$B13,29&lt;=$C13),"■","")</x:f>
      </x:c>
      <x:c r="AM13" s="42" t="str">
        <x:f>IF(AND(30&gt;=$B13,30&lt;=$C13),"■","")</x:f>
      </x:c>
      <x:c r="AN13" s="42" t="str">
        <x:f>IF(AND(31&gt;=$B13,31&lt;=$C13),"■","")</x:f>
      </x:c>
      <x:c r="AO13" s="42" t="str">
        <x:f>IF(AND(32&gt;=$B13,32&lt;=$C13),"■","")</x:f>
      </x:c>
      <x:c r="AP13" s="42" t="str">
        <x:f>IF(AND(33&gt;=$B13,33&lt;=$C13),"■","")</x:f>
      </x:c>
      <x:c r="AQ13" s="42" t="str">
        <x:f>IF(AND(34&gt;=$B13,34&lt;=$C13),"■","")</x:f>
      </x:c>
      <x:c r="AR13" s="42" t="str">
        <x:f>IF(AND(35&gt;=$B13,35&lt;=$C13),"■","")</x:f>
      </x:c>
      <x:c r="AS13" s="42" t="str">
        <x:f>IF(AND(36&gt;=$B13,36&lt;=$C13),"■","")</x:f>
      </x:c>
      <x:c r="AT13" s="42" t="str">
        <x:f>IF(AND(37&gt;=$B13,37&lt;=$C13),"■","")</x:f>
      </x:c>
      <x:c r="AU13" s="42" t="str">
        <x:f>IF(AND(38&gt;=$B13,38&lt;=$C13),"■","")</x:f>
      </x:c>
      <x:c r="AV13" s="42" t="str">
        <x:f>IF(AND(39&gt;=$B13,39&lt;=$C13),"■","")</x:f>
      </x:c>
      <x:c r="AW13" s="15" t="n">
        <x:f>I13-H13+1</x:f>
        <x:v>12</x:v>
      </x:c>
    </x:row>
    <x:row r="14">
      <x:c r="A14" s="15" t="str">
        <x:v>F</x:v>
      </x:c>
      <x:c r="B14" s="17" t="n">
        <x:v>12</x:v>
      </x:c>
      <x:c r="C14" s="17" t="n">
        <x:v>13</x:v>
      </x:c>
      <x:c r="D14" s="15" t="str">
        <x:v>Seasonal production freeze; checkpoint</x:v>
      </x:c>
      <x:c r="E14" s="15" t="str">
        <x:v>PMO</x:v>
      </x:c>
      <x:c r="F14" s="15" t="str">
        <x:v>Operations</x:v>
      </x:c>
      <x:c r="G14" s="15" t="str">
        <x:v>M3</x:v>
      </x:c>
      <x:c r="H14" s="32" t="n">
        <x:f>'Assumptions'!$B$5+7*(B14-1)</x:f>
        <x:v>46377</x:v>
      </x:c>
      <x:c r="I14" s="32" t="n">
        <x:f>MIN('Assumptions'!$B$5+7*C14-3,DATE(2027,6,30))</x:f>
        <x:v>46388</x:v>
      </x:c>
      <x:c r="J14" s="42" t="str">
        <x:f>IF(AND(1&gt;=$B14,1&lt;=$C14),"■","")</x:f>
      </x:c>
      <x:c r="K14" s="42" t="str">
        <x:f>IF(AND(2&gt;=$B14,2&lt;=$C14),"■","")</x:f>
      </x:c>
      <x:c r="L14" s="42" t="str">
        <x:f>IF(AND(3&gt;=$B14,3&lt;=$C14),"■","")</x:f>
      </x:c>
      <x:c r="M14" s="42" t="str">
        <x:f>IF(AND(4&gt;=$B14,4&lt;=$C14),"■","")</x:f>
      </x:c>
      <x:c r="N14" s="42" t="str">
        <x:f>IF(AND(5&gt;=$B14,5&lt;=$C14),"■","")</x:f>
      </x:c>
      <x:c r="O14" s="42" t="str">
        <x:f>IF(AND(6&gt;=$B14,6&lt;=$C14),"■","")</x:f>
      </x:c>
      <x:c r="P14" s="42" t="str">
        <x:f>IF(AND(7&gt;=$B14,7&lt;=$C14),"■","")</x:f>
      </x:c>
      <x:c r="Q14" s="42" t="str">
        <x:f>IF(AND(8&gt;=$B14,8&lt;=$C14),"■","")</x:f>
      </x:c>
      <x:c r="R14" s="42" t="str">
        <x:f>IF(AND(9&gt;=$B14,9&lt;=$C14),"■","")</x:f>
      </x:c>
      <x:c r="S14" s="42" t="str">
        <x:f>IF(AND(10&gt;=$B14,10&lt;=$C14),"■","")</x:f>
      </x:c>
      <x:c r="T14" s="42" t="str">
        <x:f>IF(AND(11&gt;=$B14,11&lt;=$C14),"■","")</x:f>
      </x:c>
      <x:c r="U14" s="42" t="str">
        <x:f>IF(AND(12&gt;=$B14,12&lt;=$C14),"■","")</x:f>
        <x:v>■</x:v>
      </x:c>
      <x:c r="V14" s="42" t="str">
        <x:f>IF(AND(13&gt;=$B14,13&lt;=$C14),"■","")</x:f>
        <x:v>■</x:v>
      </x:c>
      <x:c r="W14" s="42" t="str">
        <x:f>IF(AND(14&gt;=$B14,14&lt;=$C14),"■","")</x:f>
      </x:c>
      <x:c r="X14" s="42" t="str">
        <x:f>IF(AND(15&gt;=$B14,15&lt;=$C14),"■","")</x:f>
      </x:c>
      <x:c r="Y14" s="42" t="str">
        <x:f>IF(AND(16&gt;=$B14,16&lt;=$C14),"■","")</x:f>
      </x:c>
      <x:c r="Z14" s="42" t="str">
        <x:f>IF(AND(17&gt;=$B14,17&lt;=$C14),"■","")</x:f>
      </x:c>
      <x:c r="AA14" s="42" t="str">
        <x:f>IF(AND(18&gt;=$B14,18&lt;=$C14),"■","")</x:f>
      </x:c>
      <x:c r="AB14" s="42" t="str">
        <x:f>IF(AND(19&gt;=$B14,19&lt;=$C14),"■","")</x:f>
      </x:c>
      <x:c r="AC14" s="42" t="str">
        <x:f>IF(AND(20&gt;=$B14,20&lt;=$C14),"■","")</x:f>
      </x:c>
      <x:c r="AD14" s="42" t="str">
        <x:f>IF(AND(21&gt;=$B14,21&lt;=$C14),"■","")</x:f>
      </x:c>
      <x:c r="AE14" s="42" t="str">
        <x:f>IF(AND(22&gt;=$B14,22&lt;=$C14),"■","")</x:f>
      </x:c>
      <x:c r="AF14" s="42" t="str">
        <x:f>IF(AND(23&gt;=$B14,23&lt;=$C14),"■","")</x:f>
      </x:c>
      <x:c r="AG14" s="42" t="str">
        <x:f>IF(AND(24&gt;=$B14,24&lt;=$C14),"■","")</x:f>
      </x:c>
      <x:c r="AH14" s="42" t="str">
        <x:f>IF(AND(25&gt;=$B14,25&lt;=$C14),"■","")</x:f>
      </x:c>
      <x:c r="AI14" s="42" t="str">
        <x:f>IF(AND(26&gt;=$B14,26&lt;=$C14),"■","")</x:f>
      </x:c>
      <x:c r="AJ14" s="42" t="str">
        <x:f>IF(AND(27&gt;=$B14,27&lt;=$C14),"■","")</x:f>
      </x:c>
      <x:c r="AK14" s="42" t="str">
        <x:f>IF(AND(28&gt;=$B14,28&lt;=$C14),"■","")</x:f>
      </x:c>
      <x:c r="AL14" s="42" t="str">
        <x:f>IF(AND(29&gt;=$B14,29&lt;=$C14),"■","")</x:f>
      </x:c>
      <x:c r="AM14" s="42" t="str">
        <x:f>IF(AND(30&gt;=$B14,30&lt;=$C14),"■","")</x:f>
      </x:c>
      <x:c r="AN14" s="42" t="str">
        <x:f>IF(AND(31&gt;=$B14,31&lt;=$C14),"■","")</x:f>
      </x:c>
      <x:c r="AO14" s="42" t="str">
        <x:f>IF(AND(32&gt;=$B14,32&lt;=$C14),"■","")</x:f>
      </x:c>
      <x:c r="AP14" s="42" t="str">
        <x:f>IF(AND(33&gt;=$B14,33&lt;=$C14),"■","")</x:f>
      </x:c>
      <x:c r="AQ14" s="42" t="str">
        <x:f>IF(AND(34&gt;=$B14,34&lt;=$C14),"■","")</x:f>
      </x:c>
      <x:c r="AR14" s="42" t="str">
        <x:f>IF(AND(35&gt;=$B14,35&lt;=$C14),"■","")</x:f>
      </x:c>
      <x:c r="AS14" s="42" t="str">
        <x:f>IF(AND(36&gt;=$B14,36&lt;=$C14),"■","")</x:f>
      </x:c>
      <x:c r="AT14" s="42" t="str">
        <x:f>IF(AND(37&gt;=$B14,37&lt;=$C14),"■","")</x:f>
      </x:c>
      <x:c r="AU14" s="42" t="str">
        <x:f>IF(AND(38&gt;=$B14,38&lt;=$C14),"■","")</x:f>
      </x:c>
      <x:c r="AV14" s="42" t="str">
        <x:f>IF(AND(39&gt;=$B14,39&lt;=$C14),"■","")</x:f>
      </x:c>
      <x:c r="AW14" s="15" t="n">
        <x:f>I14-H14+1</x:f>
        <x:v>12</x:v>
      </x:c>
    </x:row>
    <x:row r="15">
      <x:c r="A15" s="15" t="str">
        <x:v>3.1</x:v>
      </x:c>
      <x:c r="B15" s="17" t="n">
        <x:v>14</x:v>
      </x:c>
      <x:c r="C15" s="17" t="n">
        <x:v>17</x:v>
      </x:c>
      <x:c r="D15" s="15" t="str">
        <x:v>Configure rule/output service and MySpark journey</x:v>
      </x:c>
      <x:c r="E15" s="15" t="str">
        <x:v>Solution architect</x:v>
      </x:c>
      <x:c r="F15" s="15" t="str">
        <x:v>Engineering / product</x:v>
      </x:c>
      <x:c r="G15" s="15" t="str">
        <x:v>Requirements</x:v>
      </x:c>
      <x:c r="H15" s="32" t="n">
        <x:f>'Assumptions'!$B$5+7*(B15-1)</x:f>
        <x:v>46391</x:v>
      </x:c>
      <x:c r="I15" s="32" t="n">
        <x:f>MIN('Assumptions'!$B$5+7*C15-3,DATE(2027,6,30))</x:f>
        <x:v>46416</x:v>
      </x:c>
      <x:c r="J15" s="42" t="str">
        <x:f>IF(AND(1&gt;=$B15,1&lt;=$C15),"■","")</x:f>
      </x:c>
      <x:c r="K15" s="42" t="str">
        <x:f>IF(AND(2&gt;=$B15,2&lt;=$C15),"■","")</x:f>
      </x:c>
      <x:c r="L15" s="42" t="str">
        <x:f>IF(AND(3&gt;=$B15,3&lt;=$C15),"■","")</x:f>
      </x:c>
      <x:c r="M15" s="42" t="str">
        <x:f>IF(AND(4&gt;=$B15,4&lt;=$C15),"■","")</x:f>
      </x:c>
      <x:c r="N15" s="42" t="str">
        <x:f>IF(AND(5&gt;=$B15,5&lt;=$C15),"■","")</x:f>
      </x:c>
      <x:c r="O15" s="42" t="str">
        <x:f>IF(AND(6&gt;=$B15,6&lt;=$C15),"■","")</x:f>
      </x:c>
      <x:c r="P15" s="42" t="str">
        <x:f>IF(AND(7&gt;=$B15,7&lt;=$C15),"■","")</x:f>
      </x:c>
      <x:c r="Q15" s="42" t="str">
        <x:f>IF(AND(8&gt;=$B15,8&lt;=$C15),"■","")</x:f>
      </x:c>
      <x:c r="R15" s="42" t="str">
        <x:f>IF(AND(9&gt;=$B15,9&lt;=$C15),"■","")</x:f>
      </x:c>
      <x:c r="S15" s="42" t="str">
        <x:f>IF(AND(10&gt;=$B15,10&lt;=$C15),"■","")</x:f>
      </x:c>
      <x:c r="T15" s="42" t="str">
        <x:f>IF(AND(11&gt;=$B15,11&lt;=$C15),"■","")</x:f>
      </x:c>
      <x:c r="U15" s="42" t="str">
        <x:f>IF(AND(12&gt;=$B15,12&lt;=$C15),"■","")</x:f>
      </x:c>
      <x:c r="V15" s="42" t="str">
        <x:f>IF(AND(13&gt;=$B15,13&lt;=$C15),"■","")</x:f>
      </x:c>
      <x:c r="W15" s="42" t="str">
        <x:f>IF(AND(14&gt;=$B15,14&lt;=$C15),"■","")</x:f>
        <x:v>■</x:v>
      </x:c>
      <x:c r="X15" s="42" t="str">
        <x:f>IF(AND(15&gt;=$B15,15&lt;=$C15),"■","")</x:f>
        <x:v>■</x:v>
      </x:c>
      <x:c r="Y15" s="42" t="str">
        <x:f>IF(AND(16&gt;=$B15,16&lt;=$C15),"■","")</x:f>
        <x:v>■</x:v>
      </x:c>
      <x:c r="Z15" s="42" t="str">
        <x:f>IF(AND(17&gt;=$B15,17&lt;=$C15),"■","")</x:f>
        <x:v>■</x:v>
      </x:c>
      <x:c r="AA15" s="42" t="str">
        <x:f>IF(AND(18&gt;=$B15,18&lt;=$C15),"■","")</x:f>
      </x:c>
      <x:c r="AB15" s="42" t="str">
        <x:f>IF(AND(19&gt;=$B15,19&lt;=$C15),"■","")</x:f>
      </x:c>
      <x:c r="AC15" s="42" t="str">
        <x:f>IF(AND(20&gt;=$B15,20&lt;=$C15),"■","")</x:f>
      </x:c>
      <x:c r="AD15" s="42" t="str">
        <x:f>IF(AND(21&gt;=$B15,21&lt;=$C15),"■","")</x:f>
      </x:c>
      <x:c r="AE15" s="42" t="str">
        <x:f>IF(AND(22&gt;=$B15,22&lt;=$C15),"■","")</x:f>
      </x:c>
      <x:c r="AF15" s="42" t="str">
        <x:f>IF(AND(23&gt;=$B15,23&lt;=$C15),"■","")</x:f>
      </x:c>
      <x:c r="AG15" s="42" t="str">
        <x:f>IF(AND(24&gt;=$B15,24&lt;=$C15),"■","")</x:f>
      </x:c>
      <x:c r="AH15" s="42" t="str">
        <x:f>IF(AND(25&gt;=$B15,25&lt;=$C15),"■","")</x:f>
      </x:c>
      <x:c r="AI15" s="42" t="str">
        <x:f>IF(AND(26&gt;=$B15,26&lt;=$C15),"■","")</x:f>
      </x:c>
      <x:c r="AJ15" s="42" t="str">
        <x:f>IF(AND(27&gt;=$B15,27&lt;=$C15),"■","")</x:f>
      </x:c>
      <x:c r="AK15" s="42" t="str">
        <x:f>IF(AND(28&gt;=$B15,28&lt;=$C15),"■","")</x:f>
      </x:c>
      <x:c r="AL15" s="42" t="str">
        <x:f>IF(AND(29&gt;=$B15,29&lt;=$C15),"■","")</x:f>
      </x:c>
      <x:c r="AM15" s="42" t="str">
        <x:f>IF(AND(30&gt;=$B15,30&lt;=$C15),"■","")</x:f>
      </x:c>
      <x:c r="AN15" s="42" t="str">
        <x:f>IF(AND(31&gt;=$B15,31&lt;=$C15),"■","")</x:f>
      </x:c>
      <x:c r="AO15" s="42" t="str">
        <x:f>IF(AND(32&gt;=$B15,32&lt;=$C15),"■","")</x:f>
      </x:c>
      <x:c r="AP15" s="42" t="str">
        <x:f>IF(AND(33&gt;=$B15,33&lt;=$C15),"■","")</x:f>
      </x:c>
      <x:c r="AQ15" s="42" t="str">
        <x:f>IF(AND(34&gt;=$B15,34&lt;=$C15),"■","")</x:f>
      </x:c>
      <x:c r="AR15" s="42" t="str">
        <x:f>IF(AND(35&gt;=$B15,35&lt;=$C15),"■","")</x:f>
      </x:c>
      <x:c r="AS15" s="42" t="str">
        <x:f>IF(AND(36&gt;=$B15,36&lt;=$C15),"■","")</x:f>
      </x:c>
      <x:c r="AT15" s="42" t="str">
        <x:f>IF(AND(37&gt;=$B15,37&lt;=$C15),"■","")</x:f>
      </x:c>
      <x:c r="AU15" s="42" t="str">
        <x:f>IF(AND(38&gt;=$B15,38&lt;=$C15),"■","")</x:f>
      </x:c>
      <x:c r="AV15" s="42" t="str">
        <x:f>IF(AND(39&gt;=$B15,39&lt;=$C15),"■","")</x:f>
      </x:c>
      <x:c r="AW15" s="15" t="n">
        <x:f>I15-H15+1</x:f>
        <x:v>26</x:v>
      </x:c>
    </x:row>
    <x:row r="16">
      <x:c r="A16" s="15" t="str">
        <x:v>3.2</x:v>
      </x:c>
      <x:c r="B16" s="17" t="n">
        <x:v>16</x:v>
      </x:c>
      <x:c r="C16" s="17" t="n">
        <x:v>18</x:v>
      </x:c>
      <x:c r="D16" s="15" t="str">
        <x:v>Implement assignment, decision and outcome events</x:v>
      </x:c>
      <x:c r="E16" s="15" t="str">
        <x:v>Data specialist</x:v>
      </x:c>
      <x:c r="F16" s="15" t="str">
        <x:v>Data engineering</x:v>
      </x:c>
      <x:c r="G16" s="15" t="str">
        <x:v>Dictionary</x:v>
      </x:c>
      <x:c r="H16" s="32" t="n">
        <x:f>'Assumptions'!$B$5+7*(B16-1)</x:f>
        <x:v>46405</x:v>
      </x:c>
      <x:c r="I16" s="32" t="n">
        <x:f>MIN('Assumptions'!$B$5+7*C16-3,DATE(2027,6,30))</x:f>
        <x:v>46423</x:v>
      </x:c>
      <x:c r="J16" s="42" t="str">
        <x:f>IF(AND(1&gt;=$B16,1&lt;=$C16),"■","")</x:f>
      </x:c>
      <x:c r="K16" s="42" t="str">
        <x:f>IF(AND(2&gt;=$B16,2&lt;=$C16),"■","")</x:f>
      </x:c>
      <x:c r="L16" s="42" t="str">
        <x:f>IF(AND(3&gt;=$B16,3&lt;=$C16),"■","")</x:f>
      </x:c>
      <x:c r="M16" s="42" t="str">
        <x:f>IF(AND(4&gt;=$B16,4&lt;=$C16),"■","")</x:f>
      </x:c>
      <x:c r="N16" s="42" t="str">
        <x:f>IF(AND(5&gt;=$B16,5&lt;=$C16),"■","")</x:f>
      </x:c>
      <x:c r="O16" s="42" t="str">
        <x:f>IF(AND(6&gt;=$B16,6&lt;=$C16),"■","")</x:f>
      </x:c>
      <x:c r="P16" s="42" t="str">
        <x:f>IF(AND(7&gt;=$B16,7&lt;=$C16),"■","")</x:f>
      </x:c>
      <x:c r="Q16" s="42" t="str">
        <x:f>IF(AND(8&gt;=$B16,8&lt;=$C16),"■","")</x:f>
      </x:c>
      <x:c r="R16" s="42" t="str">
        <x:f>IF(AND(9&gt;=$B16,9&lt;=$C16),"■","")</x:f>
      </x:c>
      <x:c r="S16" s="42" t="str">
        <x:f>IF(AND(10&gt;=$B16,10&lt;=$C16),"■","")</x:f>
      </x:c>
      <x:c r="T16" s="42" t="str">
        <x:f>IF(AND(11&gt;=$B16,11&lt;=$C16),"■","")</x:f>
      </x:c>
      <x:c r="U16" s="42" t="str">
        <x:f>IF(AND(12&gt;=$B16,12&lt;=$C16),"■","")</x:f>
      </x:c>
      <x:c r="V16" s="42" t="str">
        <x:f>IF(AND(13&gt;=$B16,13&lt;=$C16),"■","")</x:f>
      </x:c>
      <x:c r="W16" s="42" t="str">
        <x:f>IF(AND(14&gt;=$B16,14&lt;=$C16),"■","")</x:f>
      </x:c>
      <x:c r="X16" s="42" t="str">
        <x:f>IF(AND(15&gt;=$B16,15&lt;=$C16),"■","")</x:f>
      </x:c>
      <x:c r="Y16" s="42" t="str">
        <x:f>IF(AND(16&gt;=$B16,16&lt;=$C16),"■","")</x:f>
        <x:v>■</x:v>
      </x:c>
      <x:c r="Z16" s="42" t="str">
        <x:f>IF(AND(17&gt;=$B16,17&lt;=$C16),"■","")</x:f>
        <x:v>■</x:v>
      </x:c>
      <x:c r="AA16" s="42" t="str">
        <x:f>IF(AND(18&gt;=$B16,18&lt;=$C16),"■","")</x:f>
        <x:v>■</x:v>
      </x:c>
      <x:c r="AB16" s="42" t="str">
        <x:f>IF(AND(19&gt;=$B16,19&lt;=$C16),"■","")</x:f>
      </x:c>
      <x:c r="AC16" s="42" t="str">
        <x:f>IF(AND(20&gt;=$B16,20&lt;=$C16),"■","")</x:f>
      </x:c>
      <x:c r="AD16" s="42" t="str">
        <x:f>IF(AND(21&gt;=$B16,21&lt;=$C16),"■","")</x:f>
      </x:c>
      <x:c r="AE16" s="42" t="str">
        <x:f>IF(AND(22&gt;=$B16,22&lt;=$C16),"■","")</x:f>
      </x:c>
      <x:c r="AF16" s="42" t="str">
        <x:f>IF(AND(23&gt;=$B16,23&lt;=$C16),"■","")</x:f>
      </x:c>
      <x:c r="AG16" s="42" t="str">
        <x:f>IF(AND(24&gt;=$B16,24&lt;=$C16),"■","")</x:f>
      </x:c>
      <x:c r="AH16" s="42" t="str">
        <x:f>IF(AND(25&gt;=$B16,25&lt;=$C16),"■","")</x:f>
      </x:c>
      <x:c r="AI16" s="42" t="str">
        <x:f>IF(AND(26&gt;=$B16,26&lt;=$C16),"■","")</x:f>
      </x:c>
      <x:c r="AJ16" s="42" t="str">
        <x:f>IF(AND(27&gt;=$B16,27&lt;=$C16),"■","")</x:f>
      </x:c>
      <x:c r="AK16" s="42" t="str">
        <x:f>IF(AND(28&gt;=$B16,28&lt;=$C16),"■","")</x:f>
      </x:c>
      <x:c r="AL16" s="42" t="str">
        <x:f>IF(AND(29&gt;=$B16,29&lt;=$C16),"■","")</x:f>
      </x:c>
      <x:c r="AM16" s="42" t="str">
        <x:f>IF(AND(30&gt;=$B16,30&lt;=$C16),"■","")</x:f>
      </x:c>
      <x:c r="AN16" s="42" t="str">
        <x:f>IF(AND(31&gt;=$B16,31&lt;=$C16),"■","")</x:f>
      </x:c>
      <x:c r="AO16" s="42" t="str">
        <x:f>IF(AND(32&gt;=$B16,32&lt;=$C16),"■","")</x:f>
      </x:c>
      <x:c r="AP16" s="42" t="str">
        <x:f>IF(AND(33&gt;=$B16,33&lt;=$C16),"■","")</x:f>
      </x:c>
      <x:c r="AQ16" s="42" t="str">
        <x:f>IF(AND(34&gt;=$B16,34&lt;=$C16),"■","")</x:f>
      </x:c>
      <x:c r="AR16" s="42" t="str">
        <x:f>IF(AND(35&gt;=$B16,35&lt;=$C16),"■","")</x:f>
      </x:c>
      <x:c r="AS16" s="42" t="str">
        <x:f>IF(AND(36&gt;=$B16,36&lt;=$C16),"■","")</x:f>
      </x:c>
      <x:c r="AT16" s="42" t="str">
        <x:f>IF(AND(37&gt;=$B16,37&lt;=$C16),"■","")</x:f>
      </x:c>
      <x:c r="AU16" s="42" t="str">
        <x:f>IF(AND(38&gt;=$B16,38&lt;=$C16),"■","")</x:f>
      </x:c>
      <x:c r="AV16" s="42" t="str">
        <x:f>IF(AND(39&gt;=$B16,39&lt;=$C16),"■","")</x:f>
      </x:c>
      <x:c r="AW16" s="15" t="n">
        <x:f>I16-H16+1</x:f>
        <x:v>19</x:v>
      </x:c>
    </x:row>
    <x:row r="17">
      <x:c r="A17" s="15" t="str">
        <x:v>3.3</x:v>
      </x:c>
      <x:c r="B17" s="17" t="n">
        <x:v>18</x:v>
      </x:c>
      <x:c r="C17" s="17" t="n">
        <x:v>20</x:v>
      </x:c>
      <x:c r="D17" s="15" t="str">
        <x:v>Integration, privacy, security, performance and scenarios</x:v>
      </x:c>
      <x:c r="E17" s="15" t="str">
        <x:v>Solution architect</x:v>
      </x:c>
      <x:c r="F17" s="15" t="str">
        <x:v>Security / operations / UAT</x:v>
      </x:c>
      <x:c r="G17" s="15" t="str">
        <x:v>MVP increments</x:v>
      </x:c>
      <x:c r="H17" s="32" t="n">
        <x:f>'Assumptions'!$B$5+7*(B17-1)</x:f>
        <x:v>46419</x:v>
      </x:c>
      <x:c r="I17" s="32" t="n">
        <x:f>MIN('Assumptions'!$B$5+7*C17-3,DATE(2027,6,30))</x:f>
        <x:v>46437</x:v>
      </x:c>
      <x:c r="J17" s="42" t="str">
        <x:f>IF(AND(1&gt;=$B17,1&lt;=$C17),"■","")</x:f>
      </x:c>
      <x:c r="K17" s="42" t="str">
        <x:f>IF(AND(2&gt;=$B17,2&lt;=$C17),"■","")</x:f>
      </x:c>
      <x:c r="L17" s="42" t="str">
        <x:f>IF(AND(3&gt;=$B17,3&lt;=$C17),"■","")</x:f>
      </x:c>
      <x:c r="M17" s="42" t="str">
        <x:f>IF(AND(4&gt;=$B17,4&lt;=$C17),"■","")</x:f>
      </x:c>
      <x:c r="N17" s="42" t="str">
        <x:f>IF(AND(5&gt;=$B17,5&lt;=$C17),"■","")</x:f>
      </x:c>
      <x:c r="O17" s="42" t="str">
        <x:f>IF(AND(6&gt;=$B17,6&lt;=$C17),"■","")</x:f>
      </x:c>
      <x:c r="P17" s="42" t="str">
        <x:f>IF(AND(7&gt;=$B17,7&lt;=$C17),"■","")</x:f>
      </x:c>
      <x:c r="Q17" s="42" t="str">
        <x:f>IF(AND(8&gt;=$B17,8&lt;=$C17),"■","")</x:f>
      </x:c>
      <x:c r="R17" s="42" t="str">
        <x:f>IF(AND(9&gt;=$B17,9&lt;=$C17),"■","")</x:f>
      </x:c>
      <x:c r="S17" s="42" t="str">
        <x:f>IF(AND(10&gt;=$B17,10&lt;=$C17),"■","")</x:f>
      </x:c>
      <x:c r="T17" s="42" t="str">
        <x:f>IF(AND(11&gt;=$B17,11&lt;=$C17),"■","")</x:f>
      </x:c>
      <x:c r="U17" s="42" t="str">
        <x:f>IF(AND(12&gt;=$B17,12&lt;=$C17),"■","")</x:f>
      </x:c>
      <x:c r="V17" s="42" t="str">
        <x:f>IF(AND(13&gt;=$B17,13&lt;=$C17),"■","")</x:f>
      </x:c>
      <x:c r="W17" s="42" t="str">
        <x:f>IF(AND(14&gt;=$B17,14&lt;=$C17),"■","")</x:f>
      </x:c>
      <x:c r="X17" s="42" t="str">
        <x:f>IF(AND(15&gt;=$B17,15&lt;=$C17),"■","")</x:f>
      </x:c>
      <x:c r="Y17" s="42" t="str">
        <x:f>IF(AND(16&gt;=$B17,16&lt;=$C17),"■","")</x:f>
      </x:c>
      <x:c r="Z17" s="42" t="str">
        <x:f>IF(AND(17&gt;=$B17,17&lt;=$C17),"■","")</x:f>
      </x:c>
      <x:c r="AA17" s="42" t="str">
        <x:f>IF(AND(18&gt;=$B17,18&lt;=$C17),"■","")</x:f>
        <x:v>■</x:v>
      </x:c>
      <x:c r="AB17" s="42" t="str">
        <x:f>IF(AND(19&gt;=$B17,19&lt;=$C17),"■","")</x:f>
        <x:v>■</x:v>
      </x:c>
      <x:c r="AC17" s="42" t="str">
        <x:f>IF(AND(20&gt;=$B17,20&lt;=$C17),"■","")</x:f>
        <x:v>■</x:v>
      </x:c>
      <x:c r="AD17" s="42" t="str">
        <x:f>IF(AND(21&gt;=$B17,21&lt;=$C17),"■","")</x:f>
      </x:c>
      <x:c r="AE17" s="42" t="str">
        <x:f>IF(AND(22&gt;=$B17,22&lt;=$C17),"■","")</x:f>
      </x:c>
      <x:c r="AF17" s="42" t="str">
        <x:f>IF(AND(23&gt;=$B17,23&lt;=$C17),"■","")</x:f>
      </x:c>
      <x:c r="AG17" s="42" t="str">
        <x:f>IF(AND(24&gt;=$B17,24&lt;=$C17),"■","")</x:f>
      </x:c>
      <x:c r="AH17" s="42" t="str">
        <x:f>IF(AND(25&gt;=$B17,25&lt;=$C17),"■","")</x:f>
      </x:c>
      <x:c r="AI17" s="42" t="str">
        <x:f>IF(AND(26&gt;=$B17,26&lt;=$C17),"■","")</x:f>
      </x:c>
      <x:c r="AJ17" s="42" t="str">
        <x:f>IF(AND(27&gt;=$B17,27&lt;=$C17),"■","")</x:f>
      </x:c>
      <x:c r="AK17" s="42" t="str">
        <x:f>IF(AND(28&gt;=$B17,28&lt;=$C17),"■","")</x:f>
      </x:c>
      <x:c r="AL17" s="42" t="str">
        <x:f>IF(AND(29&gt;=$B17,29&lt;=$C17),"■","")</x:f>
      </x:c>
      <x:c r="AM17" s="42" t="str">
        <x:f>IF(AND(30&gt;=$B17,30&lt;=$C17),"■","")</x:f>
      </x:c>
      <x:c r="AN17" s="42" t="str">
        <x:f>IF(AND(31&gt;=$B17,31&lt;=$C17),"■","")</x:f>
      </x:c>
      <x:c r="AO17" s="42" t="str">
        <x:f>IF(AND(32&gt;=$B17,32&lt;=$C17),"■","")</x:f>
      </x:c>
      <x:c r="AP17" s="42" t="str">
        <x:f>IF(AND(33&gt;=$B17,33&lt;=$C17),"■","")</x:f>
      </x:c>
      <x:c r="AQ17" s="42" t="str">
        <x:f>IF(AND(34&gt;=$B17,34&lt;=$C17),"■","")</x:f>
      </x:c>
      <x:c r="AR17" s="42" t="str">
        <x:f>IF(AND(35&gt;=$B17,35&lt;=$C17),"■","")</x:f>
      </x:c>
      <x:c r="AS17" s="42" t="str">
        <x:f>IF(AND(36&gt;=$B17,36&lt;=$C17),"■","")</x:f>
      </x:c>
      <x:c r="AT17" s="42" t="str">
        <x:f>IF(AND(37&gt;=$B17,37&lt;=$C17),"■","")</x:f>
      </x:c>
      <x:c r="AU17" s="42" t="str">
        <x:f>IF(AND(38&gt;=$B17,38&lt;=$C17),"■","")</x:f>
      </x:c>
      <x:c r="AV17" s="42" t="str">
        <x:f>IF(AND(39&gt;=$B17,39&lt;=$C17),"■","")</x:f>
      </x:c>
      <x:c r="AW17" s="15" t="n">
        <x:f>I17-H17+1</x:f>
        <x:v>19</x:v>
      </x:c>
    </x:row>
    <x:row r="18">
      <x:c r="A18" s="15" t="str">
        <x:v>3.4</x:v>
      </x:c>
      <x:c r="B18" s="17" t="n">
        <x:v>20</x:v>
      </x:c>
      <x:c r="C18" s="17" t="n">
        <x:v>21</x:v>
      </x:c>
      <x:c r="D18" s="15" t="str">
        <x:v>Training, runbook, rollback and readiness pack</x:v>
      </x:c>
      <x:c r="E18" s="15" t="str">
        <x:v>Change lead</x:v>
      </x:c>
      <x:c r="F18" s="15" t="str">
        <x:v>Care / product / operations</x:v>
      </x:c>
      <x:c r="G18" s="15" t="str">
        <x:v>Test exit</x:v>
      </x:c>
      <x:c r="H18" s="32" t="n">
        <x:f>'Assumptions'!$B$5+7*(B18-1)</x:f>
        <x:v>46433</x:v>
      </x:c>
      <x:c r="I18" s="32" t="n">
        <x:f>MIN('Assumptions'!$B$5+7*C18-3,DATE(2027,6,30))</x:f>
        <x:v>46444</x:v>
      </x:c>
      <x:c r="J18" s="42" t="str">
        <x:f>IF(AND(1&gt;=$B18,1&lt;=$C18),"■","")</x:f>
      </x:c>
      <x:c r="K18" s="42" t="str">
        <x:f>IF(AND(2&gt;=$B18,2&lt;=$C18),"■","")</x:f>
      </x:c>
      <x:c r="L18" s="42" t="str">
        <x:f>IF(AND(3&gt;=$B18,3&lt;=$C18),"■","")</x:f>
      </x:c>
      <x:c r="M18" s="42" t="str">
        <x:f>IF(AND(4&gt;=$B18,4&lt;=$C18),"■","")</x:f>
      </x:c>
      <x:c r="N18" s="42" t="str">
        <x:f>IF(AND(5&gt;=$B18,5&lt;=$C18),"■","")</x:f>
      </x:c>
      <x:c r="O18" s="42" t="str">
        <x:f>IF(AND(6&gt;=$B18,6&lt;=$C18),"■","")</x:f>
      </x:c>
      <x:c r="P18" s="42" t="str">
        <x:f>IF(AND(7&gt;=$B18,7&lt;=$C18),"■","")</x:f>
      </x:c>
      <x:c r="Q18" s="42" t="str">
        <x:f>IF(AND(8&gt;=$B18,8&lt;=$C18),"■","")</x:f>
      </x:c>
      <x:c r="R18" s="42" t="str">
        <x:f>IF(AND(9&gt;=$B18,9&lt;=$C18),"■","")</x:f>
      </x:c>
      <x:c r="S18" s="42" t="str">
        <x:f>IF(AND(10&gt;=$B18,10&lt;=$C18),"■","")</x:f>
      </x:c>
      <x:c r="T18" s="42" t="str">
        <x:f>IF(AND(11&gt;=$B18,11&lt;=$C18),"■","")</x:f>
      </x:c>
      <x:c r="U18" s="42" t="str">
        <x:f>IF(AND(12&gt;=$B18,12&lt;=$C18),"■","")</x:f>
      </x:c>
      <x:c r="V18" s="42" t="str">
        <x:f>IF(AND(13&gt;=$B18,13&lt;=$C18),"■","")</x:f>
      </x:c>
      <x:c r="W18" s="42" t="str">
        <x:f>IF(AND(14&gt;=$B18,14&lt;=$C18),"■","")</x:f>
      </x:c>
      <x:c r="X18" s="42" t="str">
        <x:f>IF(AND(15&gt;=$B18,15&lt;=$C18),"■","")</x:f>
      </x:c>
      <x:c r="Y18" s="42" t="str">
        <x:f>IF(AND(16&gt;=$B18,16&lt;=$C18),"■","")</x:f>
      </x:c>
      <x:c r="Z18" s="42" t="str">
        <x:f>IF(AND(17&gt;=$B18,17&lt;=$C18),"■","")</x:f>
      </x:c>
      <x:c r="AA18" s="42" t="str">
        <x:f>IF(AND(18&gt;=$B18,18&lt;=$C18),"■","")</x:f>
      </x:c>
      <x:c r="AB18" s="42" t="str">
        <x:f>IF(AND(19&gt;=$B18,19&lt;=$C18),"■","")</x:f>
      </x:c>
      <x:c r="AC18" s="42" t="str">
        <x:f>IF(AND(20&gt;=$B18,20&lt;=$C18),"■","")</x:f>
        <x:v>■</x:v>
      </x:c>
      <x:c r="AD18" s="42" t="str">
        <x:f>IF(AND(21&gt;=$B18,21&lt;=$C18),"■","")</x:f>
        <x:v>■</x:v>
      </x:c>
      <x:c r="AE18" s="42" t="str">
        <x:f>IF(AND(22&gt;=$B18,22&lt;=$C18),"■","")</x:f>
      </x:c>
      <x:c r="AF18" s="42" t="str">
        <x:f>IF(AND(23&gt;=$B18,23&lt;=$C18),"■","")</x:f>
      </x:c>
      <x:c r="AG18" s="42" t="str">
        <x:f>IF(AND(24&gt;=$B18,24&lt;=$C18),"■","")</x:f>
      </x:c>
      <x:c r="AH18" s="42" t="str">
        <x:f>IF(AND(25&gt;=$B18,25&lt;=$C18),"■","")</x:f>
      </x:c>
      <x:c r="AI18" s="42" t="str">
        <x:f>IF(AND(26&gt;=$B18,26&lt;=$C18),"■","")</x:f>
      </x:c>
      <x:c r="AJ18" s="42" t="str">
        <x:f>IF(AND(27&gt;=$B18,27&lt;=$C18),"■","")</x:f>
      </x:c>
      <x:c r="AK18" s="42" t="str">
        <x:f>IF(AND(28&gt;=$B18,28&lt;=$C18),"■","")</x:f>
      </x:c>
      <x:c r="AL18" s="42" t="str">
        <x:f>IF(AND(29&gt;=$B18,29&lt;=$C18),"■","")</x:f>
      </x:c>
      <x:c r="AM18" s="42" t="str">
        <x:f>IF(AND(30&gt;=$B18,30&lt;=$C18),"■","")</x:f>
      </x:c>
      <x:c r="AN18" s="42" t="str">
        <x:f>IF(AND(31&gt;=$B18,31&lt;=$C18),"■","")</x:f>
      </x:c>
      <x:c r="AO18" s="42" t="str">
        <x:f>IF(AND(32&gt;=$B18,32&lt;=$C18),"■","")</x:f>
      </x:c>
      <x:c r="AP18" s="42" t="str">
        <x:f>IF(AND(33&gt;=$B18,33&lt;=$C18),"■","")</x:f>
      </x:c>
      <x:c r="AQ18" s="42" t="str">
        <x:f>IF(AND(34&gt;=$B18,34&lt;=$C18),"■","")</x:f>
      </x:c>
      <x:c r="AR18" s="42" t="str">
        <x:f>IF(AND(35&gt;=$B18,35&lt;=$C18),"■","")</x:f>
      </x:c>
      <x:c r="AS18" s="42" t="str">
        <x:f>IF(AND(36&gt;=$B18,36&lt;=$C18),"■","")</x:f>
      </x:c>
      <x:c r="AT18" s="42" t="str">
        <x:f>IF(AND(37&gt;=$B18,37&lt;=$C18),"■","")</x:f>
      </x:c>
      <x:c r="AU18" s="42" t="str">
        <x:f>IF(AND(38&gt;=$B18,38&lt;=$C18),"■","")</x:f>
      </x:c>
      <x:c r="AV18" s="42" t="str">
        <x:f>IF(AND(39&gt;=$B18,39&lt;=$C18),"■","")</x:f>
      </x:c>
      <x:c r="AW18" s="15" t="n">
        <x:f>I18-H18+1</x:f>
        <x:v>12</x:v>
      </x:c>
    </x:row>
    <x:row r="19">
      <x:c r="A19" s="15" t="str">
        <x:v>4.1</x:v>
      </x:c>
      <x:c r="B19" s="17" t="n">
        <x:v>22</x:v>
      </x:c>
      <x:c r="C19" s="17" t="n">
        <x:v>24</x:v>
      </x:c>
      <x:c r="D19" s="15" t="str">
        <x:v>Conditionally enrol and close cohort</x:v>
      </x:c>
      <x:c r="E19" s="15" t="str">
        <x:v>Data specialist</x:v>
      </x:c>
      <x:c r="F19" s="15" t="str">
        <x:v>Product / operations</x:v>
      </x:c>
      <x:c r="G19" s="15" t="str">
        <x:v>M2 power; M4 readiness</x:v>
      </x:c>
      <x:c r="H19" s="32" t="n">
        <x:f>'Assumptions'!$B$5+7*(B19-1)</x:f>
        <x:v>46447</x:v>
      </x:c>
      <x:c r="I19" s="32" t="n">
        <x:f>MIN('Assumptions'!$B$5+7*C19-3,DATE(2027,6,30))</x:f>
        <x:v>46465</x:v>
      </x:c>
      <x:c r="J19" s="42" t="str">
        <x:f>IF(AND(1&gt;=$B19,1&lt;=$C19),"■","")</x:f>
      </x:c>
      <x:c r="K19" s="42" t="str">
        <x:f>IF(AND(2&gt;=$B19,2&lt;=$C19),"■","")</x:f>
      </x:c>
      <x:c r="L19" s="42" t="str">
        <x:f>IF(AND(3&gt;=$B19,3&lt;=$C19),"■","")</x:f>
      </x:c>
      <x:c r="M19" s="42" t="str">
        <x:f>IF(AND(4&gt;=$B19,4&lt;=$C19),"■","")</x:f>
      </x:c>
      <x:c r="N19" s="42" t="str">
        <x:f>IF(AND(5&gt;=$B19,5&lt;=$C19),"■","")</x:f>
      </x:c>
      <x:c r="O19" s="42" t="str">
        <x:f>IF(AND(6&gt;=$B19,6&lt;=$C19),"■","")</x:f>
      </x:c>
      <x:c r="P19" s="42" t="str">
        <x:f>IF(AND(7&gt;=$B19,7&lt;=$C19),"■","")</x:f>
      </x:c>
      <x:c r="Q19" s="42" t="str">
        <x:f>IF(AND(8&gt;=$B19,8&lt;=$C19),"■","")</x:f>
      </x:c>
      <x:c r="R19" s="42" t="str">
        <x:f>IF(AND(9&gt;=$B19,9&lt;=$C19),"■","")</x:f>
      </x:c>
      <x:c r="S19" s="42" t="str">
        <x:f>IF(AND(10&gt;=$B19,10&lt;=$C19),"■","")</x:f>
      </x:c>
      <x:c r="T19" s="42" t="str">
        <x:f>IF(AND(11&gt;=$B19,11&lt;=$C19),"■","")</x:f>
      </x:c>
      <x:c r="U19" s="42" t="str">
        <x:f>IF(AND(12&gt;=$B19,12&lt;=$C19),"■","")</x:f>
      </x:c>
      <x:c r="V19" s="42" t="str">
        <x:f>IF(AND(13&gt;=$B19,13&lt;=$C19),"■","")</x:f>
      </x:c>
      <x:c r="W19" s="42" t="str">
        <x:f>IF(AND(14&gt;=$B19,14&lt;=$C19),"■","")</x:f>
      </x:c>
      <x:c r="X19" s="42" t="str">
        <x:f>IF(AND(15&gt;=$B19,15&lt;=$C19),"■","")</x:f>
      </x:c>
      <x:c r="Y19" s="42" t="str">
        <x:f>IF(AND(16&gt;=$B19,16&lt;=$C19),"■","")</x:f>
      </x:c>
      <x:c r="Z19" s="42" t="str">
        <x:f>IF(AND(17&gt;=$B19,17&lt;=$C19),"■","")</x:f>
      </x:c>
      <x:c r="AA19" s="42" t="str">
        <x:f>IF(AND(18&gt;=$B19,18&lt;=$C19),"■","")</x:f>
      </x:c>
      <x:c r="AB19" s="42" t="str">
        <x:f>IF(AND(19&gt;=$B19,19&lt;=$C19),"■","")</x:f>
      </x:c>
      <x:c r="AC19" s="42" t="str">
        <x:f>IF(AND(20&gt;=$B19,20&lt;=$C19),"■","")</x:f>
      </x:c>
      <x:c r="AD19" s="42" t="str">
        <x:f>IF(AND(21&gt;=$B19,21&lt;=$C19),"■","")</x:f>
      </x:c>
      <x:c r="AE19" s="42" t="str">
        <x:f>IF(AND(22&gt;=$B19,22&lt;=$C19),"■","")</x:f>
        <x:v>■</x:v>
      </x:c>
      <x:c r="AF19" s="42" t="str">
        <x:f>IF(AND(23&gt;=$B19,23&lt;=$C19),"■","")</x:f>
        <x:v>■</x:v>
      </x:c>
      <x:c r="AG19" s="42" t="str">
        <x:f>IF(AND(24&gt;=$B19,24&lt;=$C19),"■","")</x:f>
        <x:v>■</x:v>
      </x:c>
      <x:c r="AH19" s="42" t="str">
        <x:f>IF(AND(25&gt;=$B19,25&lt;=$C19),"■","")</x:f>
      </x:c>
      <x:c r="AI19" s="42" t="str">
        <x:f>IF(AND(26&gt;=$B19,26&lt;=$C19),"■","")</x:f>
      </x:c>
      <x:c r="AJ19" s="42" t="str">
        <x:f>IF(AND(27&gt;=$B19,27&lt;=$C19),"■","")</x:f>
      </x:c>
      <x:c r="AK19" s="42" t="str">
        <x:f>IF(AND(28&gt;=$B19,28&lt;=$C19),"■","")</x:f>
      </x:c>
      <x:c r="AL19" s="42" t="str">
        <x:f>IF(AND(29&gt;=$B19,29&lt;=$C19),"■","")</x:f>
      </x:c>
      <x:c r="AM19" s="42" t="str">
        <x:f>IF(AND(30&gt;=$B19,30&lt;=$C19),"■","")</x:f>
      </x:c>
      <x:c r="AN19" s="42" t="str">
        <x:f>IF(AND(31&gt;=$B19,31&lt;=$C19),"■","")</x:f>
      </x:c>
      <x:c r="AO19" s="42" t="str">
        <x:f>IF(AND(32&gt;=$B19,32&lt;=$C19),"■","")</x:f>
      </x:c>
      <x:c r="AP19" s="42" t="str">
        <x:f>IF(AND(33&gt;=$B19,33&lt;=$C19),"■","")</x:f>
      </x:c>
      <x:c r="AQ19" s="42" t="str">
        <x:f>IF(AND(34&gt;=$B19,34&lt;=$C19),"■","")</x:f>
      </x:c>
      <x:c r="AR19" s="42" t="str">
        <x:f>IF(AND(35&gt;=$B19,35&lt;=$C19),"■","")</x:f>
      </x:c>
      <x:c r="AS19" s="42" t="str">
        <x:f>IF(AND(36&gt;=$B19,36&lt;=$C19),"■","")</x:f>
      </x:c>
      <x:c r="AT19" s="42" t="str">
        <x:f>IF(AND(37&gt;=$B19,37&lt;=$C19),"■","")</x:f>
      </x:c>
      <x:c r="AU19" s="42" t="str">
        <x:f>IF(AND(38&gt;=$B19,38&lt;=$C19),"■","")</x:f>
      </x:c>
      <x:c r="AV19" s="42" t="str">
        <x:f>IF(AND(39&gt;=$B19,39&lt;=$C19),"■","")</x:f>
      </x:c>
      <x:c r="AW19" s="15" t="n">
        <x:f>I19-H19+1</x:f>
        <x:v>19</x:v>
      </x:c>
    </x:row>
    <x:row r="20">
      <x:c r="A20" s="15" t="str">
        <x:v>4.2</x:v>
      </x:c>
      <x:c r="B20" s="17" t="n">
        <x:v>22</x:v>
      </x:c>
      <x:c r="C20" s="17" t="n">
        <x:v>37</x:v>
      </x:c>
      <x:c r="D20" s="15" t="str">
        <x:v>Safety, funnel, data and contamination monitoring</x:v>
      </x:c>
      <x:c r="E20" s="15" t="str">
        <x:v>PMO / data lead</x:v>
      </x:c>
      <x:c r="F20" s="15" t="str">
        <x:v>Benefit / control owners</x:v>
      </x:c>
      <x:c r="G20" s="15" t="str">
        <x:v>Closed cohort</x:v>
      </x:c>
      <x:c r="H20" s="32" t="n">
        <x:f>'Assumptions'!$B$5+7*(B20-1)</x:f>
        <x:v>46447</x:v>
      </x:c>
      <x:c r="I20" s="32" t="n">
        <x:f>MIN('Assumptions'!$B$5+7*C20-3,DATE(2027,6,30))</x:f>
        <x:v>46556</x:v>
      </x:c>
      <x:c r="J20" s="42" t="str">
        <x:f>IF(AND(1&gt;=$B20,1&lt;=$C20),"■","")</x:f>
      </x:c>
      <x:c r="K20" s="42" t="str">
        <x:f>IF(AND(2&gt;=$B20,2&lt;=$C20),"■","")</x:f>
      </x:c>
      <x:c r="L20" s="42" t="str">
        <x:f>IF(AND(3&gt;=$B20,3&lt;=$C20),"■","")</x:f>
      </x:c>
      <x:c r="M20" s="42" t="str">
        <x:f>IF(AND(4&gt;=$B20,4&lt;=$C20),"■","")</x:f>
      </x:c>
      <x:c r="N20" s="42" t="str">
        <x:f>IF(AND(5&gt;=$B20,5&lt;=$C20),"■","")</x:f>
      </x:c>
      <x:c r="O20" s="42" t="str">
        <x:f>IF(AND(6&gt;=$B20,6&lt;=$C20),"■","")</x:f>
      </x:c>
      <x:c r="P20" s="42" t="str">
        <x:f>IF(AND(7&gt;=$B20,7&lt;=$C20),"■","")</x:f>
      </x:c>
      <x:c r="Q20" s="42" t="str">
        <x:f>IF(AND(8&gt;=$B20,8&lt;=$C20),"■","")</x:f>
      </x:c>
      <x:c r="R20" s="42" t="str">
        <x:f>IF(AND(9&gt;=$B20,9&lt;=$C20),"■","")</x:f>
      </x:c>
      <x:c r="S20" s="42" t="str">
        <x:f>IF(AND(10&gt;=$B20,10&lt;=$C20),"■","")</x:f>
      </x:c>
      <x:c r="T20" s="42" t="str">
        <x:f>IF(AND(11&gt;=$B20,11&lt;=$C20),"■","")</x:f>
      </x:c>
      <x:c r="U20" s="42" t="str">
        <x:f>IF(AND(12&gt;=$B20,12&lt;=$C20),"■","")</x:f>
      </x:c>
      <x:c r="V20" s="42" t="str">
        <x:f>IF(AND(13&gt;=$B20,13&lt;=$C20),"■","")</x:f>
      </x:c>
      <x:c r="W20" s="42" t="str">
        <x:f>IF(AND(14&gt;=$B20,14&lt;=$C20),"■","")</x:f>
      </x:c>
      <x:c r="X20" s="42" t="str">
        <x:f>IF(AND(15&gt;=$B20,15&lt;=$C20),"■","")</x:f>
      </x:c>
      <x:c r="Y20" s="42" t="str">
        <x:f>IF(AND(16&gt;=$B20,16&lt;=$C20),"■","")</x:f>
      </x:c>
      <x:c r="Z20" s="42" t="str">
        <x:f>IF(AND(17&gt;=$B20,17&lt;=$C20),"■","")</x:f>
      </x:c>
      <x:c r="AA20" s="42" t="str">
        <x:f>IF(AND(18&gt;=$B20,18&lt;=$C20),"■","")</x:f>
      </x:c>
      <x:c r="AB20" s="42" t="str">
        <x:f>IF(AND(19&gt;=$B20,19&lt;=$C20),"■","")</x:f>
      </x:c>
      <x:c r="AC20" s="42" t="str">
        <x:f>IF(AND(20&gt;=$B20,20&lt;=$C20),"■","")</x:f>
      </x:c>
      <x:c r="AD20" s="42" t="str">
        <x:f>IF(AND(21&gt;=$B20,21&lt;=$C20),"■","")</x:f>
      </x:c>
      <x:c r="AE20" s="42" t="str">
        <x:f>IF(AND(22&gt;=$B20,22&lt;=$C20),"■","")</x:f>
        <x:v>■</x:v>
      </x:c>
      <x:c r="AF20" s="42" t="str">
        <x:f>IF(AND(23&gt;=$B20,23&lt;=$C20),"■","")</x:f>
        <x:v>■</x:v>
      </x:c>
      <x:c r="AG20" s="42" t="str">
        <x:f>IF(AND(24&gt;=$B20,24&lt;=$C20),"■","")</x:f>
        <x:v>■</x:v>
      </x:c>
      <x:c r="AH20" s="42" t="str">
        <x:f>IF(AND(25&gt;=$B20,25&lt;=$C20),"■","")</x:f>
        <x:v>■</x:v>
      </x:c>
      <x:c r="AI20" s="42" t="str">
        <x:f>IF(AND(26&gt;=$B20,26&lt;=$C20),"■","")</x:f>
        <x:v>■</x:v>
      </x:c>
      <x:c r="AJ20" s="42" t="str">
        <x:f>IF(AND(27&gt;=$B20,27&lt;=$C20),"■","")</x:f>
        <x:v>■</x:v>
      </x:c>
      <x:c r="AK20" s="42" t="str">
        <x:f>IF(AND(28&gt;=$B20,28&lt;=$C20),"■","")</x:f>
        <x:v>■</x:v>
      </x:c>
      <x:c r="AL20" s="42" t="str">
        <x:f>IF(AND(29&gt;=$B20,29&lt;=$C20),"■","")</x:f>
        <x:v>■</x:v>
      </x:c>
      <x:c r="AM20" s="42" t="str">
        <x:f>IF(AND(30&gt;=$B20,30&lt;=$C20),"■","")</x:f>
        <x:v>■</x:v>
      </x:c>
      <x:c r="AN20" s="42" t="str">
        <x:f>IF(AND(31&gt;=$B20,31&lt;=$C20),"■","")</x:f>
        <x:v>■</x:v>
      </x:c>
      <x:c r="AO20" s="42" t="str">
        <x:f>IF(AND(32&gt;=$B20,32&lt;=$C20),"■","")</x:f>
        <x:v>■</x:v>
      </x:c>
      <x:c r="AP20" s="42" t="str">
        <x:f>IF(AND(33&gt;=$B20,33&lt;=$C20),"■","")</x:f>
        <x:v>■</x:v>
      </x:c>
      <x:c r="AQ20" s="42" t="str">
        <x:f>IF(AND(34&gt;=$B20,34&lt;=$C20),"■","")</x:f>
        <x:v>■</x:v>
      </x:c>
      <x:c r="AR20" s="42" t="str">
        <x:f>IF(AND(35&gt;=$B20,35&lt;=$C20),"■","")</x:f>
        <x:v>■</x:v>
      </x:c>
      <x:c r="AS20" s="42" t="str">
        <x:f>IF(AND(36&gt;=$B20,36&lt;=$C20),"■","")</x:f>
        <x:v>■</x:v>
      </x:c>
      <x:c r="AT20" s="42" t="str">
        <x:f>IF(AND(37&gt;=$B20,37&lt;=$C20),"■","")</x:f>
        <x:v>■</x:v>
      </x:c>
      <x:c r="AU20" s="42" t="str">
        <x:f>IF(AND(38&gt;=$B20,38&lt;=$C20),"■","")</x:f>
      </x:c>
      <x:c r="AV20" s="42" t="str">
        <x:f>IF(AND(39&gt;=$B20,39&lt;=$C20),"■","")</x:f>
      </x:c>
      <x:c r="AW20" s="15" t="n">
        <x:f>I20-H20+1</x:f>
        <x:v>110</x:v>
      </x:c>
    </x:row>
    <x:row r="21">
      <x:c r="A21" s="15" t="str">
        <x:v>4.3</x:v>
      </x:c>
      <x:c r="B21" s="17" t="n">
        <x:v>35</x:v>
      </x:c>
      <x:c r="C21" s="17" t="n">
        <x:v>38</x:v>
      </x:c>
      <x:c r="D21" s="15" t="str">
        <x:v>Validate models, workbook, rules, training and handover pack</x:v>
      </x:c>
      <x:c r="E21" s="15" t="str">
        <x:v>Consultant leads</x:v>
      </x:c>
      <x:c r="F21" s="15" t="str">
        <x:v>Operational owners</x:v>
      </x:c>
      <x:c r="G21" s="15" t="str">
        <x:v>Work products; M6 results</x:v>
      </x:c>
      <x:c r="H21" s="32" t="n">
        <x:f>'Assumptions'!$B$5+7*(B21-1)</x:f>
        <x:v>46538</x:v>
      </x:c>
      <x:c r="I21" s="32" t="n">
        <x:f>MIN('Assumptions'!$B$5+7*C21-3,DATE(2027,6,30))</x:f>
        <x:v>46563</x:v>
      </x:c>
      <x:c r="J21" s="42" t="str">
        <x:f>IF(AND(1&gt;=$B21,1&lt;=$C21),"■","")</x:f>
      </x:c>
      <x:c r="K21" s="42" t="str">
        <x:f>IF(AND(2&gt;=$B21,2&lt;=$C21),"■","")</x:f>
      </x:c>
      <x:c r="L21" s="42" t="str">
        <x:f>IF(AND(3&gt;=$B21,3&lt;=$C21),"■","")</x:f>
      </x:c>
      <x:c r="M21" s="42" t="str">
        <x:f>IF(AND(4&gt;=$B21,4&lt;=$C21),"■","")</x:f>
      </x:c>
      <x:c r="N21" s="42" t="str">
        <x:f>IF(AND(5&gt;=$B21,5&lt;=$C21),"■","")</x:f>
      </x:c>
      <x:c r="O21" s="42" t="str">
        <x:f>IF(AND(6&gt;=$B21,6&lt;=$C21),"■","")</x:f>
      </x:c>
      <x:c r="P21" s="42" t="str">
        <x:f>IF(AND(7&gt;=$B21,7&lt;=$C21),"■","")</x:f>
      </x:c>
      <x:c r="Q21" s="42" t="str">
        <x:f>IF(AND(8&gt;=$B21,8&lt;=$C21),"■","")</x:f>
      </x:c>
      <x:c r="R21" s="42" t="str">
        <x:f>IF(AND(9&gt;=$B21,9&lt;=$C21),"■","")</x:f>
      </x:c>
      <x:c r="S21" s="42" t="str">
        <x:f>IF(AND(10&gt;=$B21,10&lt;=$C21),"■","")</x:f>
      </x:c>
      <x:c r="T21" s="42" t="str">
        <x:f>IF(AND(11&gt;=$B21,11&lt;=$C21),"■","")</x:f>
      </x:c>
      <x:c r="U21" s="42" t="str">
        <x:f>IF(AND(12&gt;=$B21,12&lt;=$C21),"■","")</x:f>
      </x:c>
      <x:c r="V21" s="42" t="str">
        <x:f>IF(AND(13&gt;=$B21,13&lt;=$C21),"■","")</x:f>
      </x:c>
      <x:c r="W21" s="42" t="str">
        <x:f>IF(AND(14&gt;=$B21,14&lt;=$C21),"■","")</x:f>
      </x:c>
      <x:c r="X21" s="42" t="str">
        <x:f>IF(AND(15&gt;=$B21,15&lt;=$C21),"■","")</x:f>
      </x:c>
      <x:c r="Y21" s="42" t="str">
        <x:f>IF(AND(16&gt;=$B21,16&lt;=$C21),"■","")</x:f>
      </x:c>
      <x:c r="Z21" s="42" t="str">
        <x:f>IF(AND(17&gt;=$B21,17&lt;=$C21),"■","")</x:f>
      </x:c>
      <x:c r="AA21" s="42" t="str">
        <x:f>IF(AND(18&gt;=$B21,18&lt;=$C21),"■","")</x:f>
      </x:c>
      <x:c r="AB21" s="42" t="str">
        <x:f>IF(AND(19&gt;=$B21,19&lt;=$C21),"■","")</x:f>
      </x:c>
      <x:c r="AC21" s="42" t="str">
        <x:f>IF(AND(20&gt;=$B21,20&lt;=$C21),"■","")</x:f>
      </x:c>
      <x:c r="AD21" s="42" t="str">
        <x:f>IF(AND(21&gt;=$B21,21&lt;=$C21),"■","")</x:f>
      </x:c>
      <x:c r="AE21" s="42" t="str">
        <x:f>IF(AND(22&gt;=$B21,22&lt;=$C21),"■","")</x:f>
      </x:c>
      <x:c r="AF21" s="42" t="str">
        <x:f>IF(AND(23&gt;=$B21,23&lt;=$C21),"■","")</x:f>
      </x:c>
      <x:c r="AG21" s="42" t="str">
        <x:f>IF(AND(24&gt;=$B21,24&lt;=$C21),"■","")</x:f>
      </x:c>
      <x:c r="AH21" s="42" t="str">
        <x:f>IF(AND(25&gt;=$B21,25&lt;=$C21),"■","")</x:f>
      </x:c>
      <x:c r="AI21" s="42" t="str">
        <x:f>IF(AND(26&gt;=$B21,26&lt;=$C21),"■","")</x:f>
      </x:c>
      <x:c r="AJ21" s="42" t="str">
        <x:f>IF(AND(27&gt;=$B21,27&lt;=$C21),"■","")</x:f>
      </x:c>
      <x:c r="AK21" s="42" t="str">
        <x:f>IF(AND(28&gt;=$B21,28&lt;=$C21),"■","")</x:f>
      </x:c>
      <x:c r="AL21" s="42" t="str">
        <x:f>IF(AND(29&gt;=$B21,29&lt;=$C21),"■","")</x:f>
      </x:c>
      <x:c r="AM21" s="42" t="str">
        <x:f>IF(AND(30&gt;=$B21,30&lt;=$C21),"■","")</x:f>
      </x:c>
      <x:c r="AN21" s="42" t="str">
        <x:f>IF(AND(31&gt;=$B21,31&lt;=$C21),"■","")</x:f>
      </x:c>
      <x:c r="AO21" s="42" t="str">
        <x:f>IF(AND(32&gt;=$B21,32&lt;=$C21),"■","")</x:f>
      </x:c>
      <x:c r="AP21" s="42" t="str">
        <x:f>IF(AND(33&gt;=$B21,33&lt;=$C21),"■","")</x:f>
      </x:c>
      <x:c r="AQ21" s="42" t="str">
        <x:f>IF(AND(34&gt;=$B21,34&lt;=$C21),"■","")</x:f>
      </x:c>
      <x:c r="AR21" s="42" t="str">
        <x:f>IF(AND(35&gt;=$B21,35&lt;=$C21),"■","")</x:f>
        <x:v>■</x:v>
      </x:c>
      <x:c r="AS21" s="42" t="str">
        <x:f>IF(AND(36&gt;=$B21,36&lt;=$C21),"■","")</x:f>
        <x:v>■</x:v>
      </x:c>
      <x:c r="AT21" s="42" t="str">
        <x:f>IF(AND(37&gt;=$B21,37&lt;=$C21),"■","")</x:f>
        <x:v>■</x:v>
      </x:c>
      <x:c r="AU21" s="42" t="str">
        <x:f>IF(AND(38&gt;=$B21,38&lt;=$C21),"■","")</x:f>
        <x:v>■</x:v>
      </x:c>
      <x:c r="AV21" s="42" t="str">
        <x:f>IF(AND(39&gt;=$B21,39&lt;=$C21),"■","")</x:f>
      </x:c>
      <x:c r="AW21" s="15" t="n">
        <x:f>I21-H21+1</x:f>
        <x:v>26</x:v>
      </x:c>
    </x:row>
    <x:row r="22">
      <x:c r="A22" s="15" t="str">
        <x:v>4.4</x:v>
      </x:c>
      <x:c r="B22" s="17" t="n">
        <x:v>38</x:v>
      </x:c>
      <x:c r="C22" s="17" t="n">
        <x:v>38</x:v>
      </x:c>
      <x:c r="D22" s="15" t="str">
        <x:v>Complete-cohort ITT, sensitivity, economics and readout</x:v>
      </x:c>
      <x:c r="E22" s="15" t="str">
        <x:v>Data specialist</x:v>
      </x:c>
      <x:c r="F22" s="15" t="str">
        <x:v>Finance / process owner</x:v>
      </x:c>
      <x:c r="G22" s="15" t="str">
        <x:v>M6 / M6A</x:v>
      </x:c>
      <x:c r="H22" s="32" t="n">
        <x:f>'Assumptions'!$B$5+7*(B22-1)</x:f>
        <x:v>46559</x:v>
      </x:c>
      <x:c r="I22" s="32" t="n">
        <x:f>MIN('Assumptions'!$B$5+7*C22-3,DATE(2027,6,30))</x:f>
        <x:v>46563</x:v>
      </x:c>
      <x:c r="J22" s="42" t="str">
        <x:f>IF(AND(1&gt;=$B22,1&lt;=$C22),"■","")</x:f>
      </x:c>
      <x:c r="K22" s="42" t="str">
        <x:f>IF(AND(2&gt;=$B22,2&lt;=$C22),"■","")</x:f>
      </x:c>
      <x:c r="L22" s="42" t="str">
        <x:f>IF(AND(3&gt;=$B22,3&lt;=$C22),"■","")</x:f>
      </x:c>
      <x:c r="M22" s="42" t="str">
        <x:f>IF(AND(4&gt;=$B22,4&lt;=$C22),"■","")</x:f>
      </x:c>
      <x:c r="N22" s="42" t="str">
        <x:f>IF(AND(5&gt;=$B22,5&lt;=$C22),"■","")</x:f>
      </x:c>
      <x:c r="O22" s="42" t="str">
        <x:f>IF(AND(6&gt;=$B22,6&lt;=$C22),"■","")</x:f>
      </x:c>
      <x:c r="P22" s="42" t="str">
        <x:f>IF(AND(7&gt;=$B22,7&lt;=$C22),"■","")</x:f>
      </x:c>
      <x:c r="Q22" s="42" t="str">
        <x:f>IF(AND(8&gt;=$B22,8&lt;=$C22),"■","")</x:f>
      </x:c>
      <x:c r="R22" s="42" t="str">
        <x:f>IF(AND(9&gt;=$B22,9&lt;=$C22),"■","")</x:f>
      </x:c>
      <x:c r="S22" s="42" t="str">
        <x:f>IF(AND(10&gt;=$B22,10&lt;=$C22),"■","")</x:f>
      </x:c>
      <x:c r="T22" s="42" t="str">
        <x:f>IF(AND(11&gt;=$B22,11&lt;=$C22),"■","")</x:f>
      </x:c>
      <x:c r="U22" s="42" t="str">
        <x:f>IF(AND(12&gt;=$B22,12&lt;=$C22),"■","")</x:f>
      </x:c>
      <x:c r="V22" s="42" t="str">
        <x:f>IF(AND(13&gt;=$B22,13&lt;=$C22),"■","")</x:f>
      </x:c>
      <x:c r="W22" s="42" t="str">
        <x:f>IF(AND(14&gt;=$B22,14&lt;=$C22),"■","")</x:f>
      </x:c>
      <x:c r="X22" s="42" t="str">
        <x:f>IF(AND(15&gt;=$B22,15&lt;=$C22),"■","")</x:f>
      </x:c>
      <x:c r="Y22" s="42" t="str">
        <x:f>IF(AND(16&gt;=$B22,16&lt;=$C22),"■","")</x:f>
      </x:c>
      <x:c r="Z22" s="42" t="str">
        <x:f>IF(AND(17&gt;=$B22,17&lt;=$C22),"■","")</x:f>
      </x:c>
      <x:c r="AA22" s="42" t="str">
        <x:f>IF(AND(18&gt;=$B22,18&lt;=$C22),"■","")</x:f>
      </x:c>
      <x:c r="AB22" s="42" t="str">
        <x:f>IF(AND(19&gt;=$B22,19&lt;=$C22),"■","")</x:f>
      </x:c>
      <x:c r="AC22" s="42" t="str">
        <x:f>IF(AND(20&gt;=$B22,20&lt;=$C22),"■","")</x:f>
      </x:c>
      <x:c r="AD22" s="42" t="str">
        <x:f>IF(AND(21&gt;=$B22,21&lt;=$C22),"■","")</x:f>
      </x:c>
      <x:c r="AE22" s="42" t="str">
        <x:f>IF(AND(22&gt;=$B22,22&lt;=$C22),"■","")</x:f>
      </x:c>
      <x:c r="AF22" s="42" t="str">
        <x:f>IF(AND(23&gt;=$B22,23&lt;=$C22),"■","")</x:f>
      </x:c>
      <x:c r="AG22" s="42" t="str">
        <x:f>IF(AND(24&gt;=$B22,24&lt;=$C22),"■","")</x:f>
      </x:c>
      <x:c r="AH22" s="42" t="str">
        <x:f>IF(AND(25&gt;=$B22,25&lt;=$C22),"■","")</x:f>
      </x:c>
      <x:c r="AI22" s="42" t="str">
        <x:f>IF(AND(26&gt;=$B22,26&lt;=$C22),"■","")</x:f>
      </x:c>
      <x:c r="AJ22" s="42" t="str">
        <x:f>IF(AND(27&gt;=$B22,27&lt;=$C22),"■","")</x:f>
      </x:c>
      <x:c r="AK22" s="42" t="str">
        <x:f>IF(AND(28&gt;=$B22,28&lt;=$C22),"■","")</x:f>
      </x:c>
      <x:c r="AL22" s="42" t="str">
        <x:f>IF(AND(29&gt;=$B22,29&lt;=$C22),"■","")</x:f>
      </x:c>
      <x:c r="AM22" s="42" t="str">
        <x:f>IF(AND(30&gt;=$B22,30&lt;=$C22),"■","")</x:f>
      </x:c>
      <x:c r="AN22" s="42" t="str">
        <x:f>IF(AND(31&gt;=$B22,31&lt;=$C22),"■","")</x:f>
      </x:c>
      <x:c r="AO22" s="42" t="str">
        <x:f>IF(AND(32&gt;=$B22,32&lt;=$C22),"■","")</x:f>
      </x:c>
      <x:c r="AP22" s="42" t="str">
        <x:f>IF(AND(33&gt;=$B22,33&lt;=$C22),"■","")</x:f>
      </x:c>
      <x:c r="AQ22" s="42" t="str">
        <x:f>IF(AND(34&gt;=$B22,34&lt;=$C22),"■","")</x:f>
      </x:c>
      <x:c r="AR22" s="42" t="str">
        <x:f>IF(AND(35&gt;=$B22,35&lt;=$C22),"■","")</x:f>
      </x:c>
      <x:c r="AS22" s="42" t="str">
        <x:f>IF(AND(36&gt;=$B22,36&lt;=$C22),"■","")</x:f>
      </x:c>
      <x:c r="AT22" s="42" t="str">
        <x:f>IF(AND(37&gt;=$B22,37&lt;=$C22),"■","")</x:f>
      </x:c>
      <x:c r="AU22" s="42" t="str">
        <x:f>IF(AND(38&gt;=$B22,38&lt;=$C22),"■","")</x:f>
        <x:v>■</x:v>
      </x:c>
      <x:c r="AV22" s="42" t="str">
        <x:f>IF(AND(39&gt;=$B22,39&lt;=$C22),"■","")</x:f>
      </x:c>
      <x:c r="AW22" s="15" t="n">
        <x:f>I22-H22+1</x:f>
        <x:v>5</x:v>
      </x:c>
    </x:row>
    <x:row r="23">
      <x:c r="A23" s="15" t="str">
        <x:v>5.1</x:v>
      </x:c>
      <x:c r="B23" s="17" t="n">
        <x:v>39</x:v>
      </x:c>
      <x:c r="C23" s="17" t="n">
        <x:v>39</x:v>
      </x:c>
      <x:c r="D23" s="15" t="str">
        <x:v>Steering decision and result-dependent finalisation</x:v>
      </x:c>
      <x:c r="E23" s="15" t="str">
        <x:v>Engagement manager</x:v>
      </x:c>
      <x:c r="F23" s="15" t="str">
        <x:v>Sponsor / steering</x:v>
      </x:c>
      <x:c r="G23" s="15" t="str">
        <x:v>M6A</x:v>
      </x:c>
      <x:c r="H23" s="32" t="n">
        <x:f>'Assumptions'!$B$5+7*(B23-1)</x:f>
        <x:v>46566</x:v>
      </x:c>
      <x:c r="I23" s="32" t="n">
        <x:f>MIN('Assumptions'!$B$5+7*C23-3,DATE(2027,6,30))</x:f>
        <x:v>46568</x:v>
      </x:c>
      <x:c r="J23" s="42" t="str">
        <x:f>IF(AND(1&gt;=$B23,1&lt;=$C23),"■","")</x:f>
      </x:c>
      <x:c r="K23" s="42" t="str">
        <x:f>IF(AND(2&gt;=$B23,2&lt;=$C23),"■","")</x:f>
      </x:c>
      <x:c r="L23" s="42" t="str">
        <x:f>IF(AND(3&gt;=$B23,3&lt;=$C23),"■","")</x:f>
      </x:c>
      <x:c r="M23" s="42" t="str">
        <x:f>IF(AND(4&gt;=$B23,4&lt;=$C23),"■","")</x:f>
      </x:c>
      <x:c r="N23" s="42" t="str">
        <x:f>IF(AND(5&gt;=$B23,5&lt;=$C23),"■","")</x:f>
      </x:c>
      <x:c r="O23" s="42" t="str">
        <x:f>IF(AND(6&gt;=$B23,6&lt;=$C23),"■","")</x:f>
      </x:c>
      <x:c r="P23" s="42" t="str">
        <x:f>IF(AND(7&gt;=$B23,7&lt;=$C23),"■","")</x:f>
      </x:c>
      <x:c r="Q23" s="42" t="str">
        <x:f>IF(AND(8&gt;=$B23,8&lt;=$C23),"■","")</x:f>
      </x:c>
      <x:c r="R23" s="42" t="str">
        <x:f>IF(AND(9&gt;=$B23,9&lt;=$C23),"■","")</x:f>
      </x:c>
      <x:c r="S23" s="42" t="str">
        <x:f>IF(AND(10&gt;=$B23,10&lt;=$C23),"■","")</x:f>
      </x:c>
      <x:c r="T23" s="42" t="str">
        <x:f>IF(AND(11&gt;=$B23,11&lt;=$C23),"■","")</x:f>
      </x:c>
      <x:c r="U23" s="42" t="str">
        <x:f>IF(AND(12&gt;=$B23,12&lt;=$C23),"■","")</x:f>
      </x:c>
      <x:c r="V23" s="42" t="str">
        <x:f>IF(AND(13&gt;=$B23,13&lt;=$C23),"■","")</x:f>
      </x:c>
      <x:c r="W23" s="42" t="str">
        <x:f>IF(AND(14&gt;=$B23,14&lt;=$C23),"■","")</x:f>
      </x:c>
      <x:c r="X23" s="42" t="str">
        <x:f>IF(AND(15&gt;=$B23,15&lt;=$C23),"■","")</x:f>
      </x:c>
      <x:c r="Y23" s="42" t="str">
        <x:f>IF(AND(16&gt;=$B23,16&lt;=$C23),"■","")</x:f>
      </x:c>
      <x:c r="Z23" s="42" t="str">
        <x:f>IF(AND(17&gt;=$B23,17&lt;=$C23),"■","")</x:f>
      </x:c>
      <x:c r="AA23" s="42" t="str">
        <x:f>IF(AND(18&gt;=$B23,18&lt;=$C23),"■","")</x:f>
      </x:c>
      <x:c r="AB23" s="42" t="str">
        <x:f>IF(AND(19&gt;=$B23,19&lt;=$C23),"■","")</x:f>
      </x:c>
      <x:c r="AC23" s="42" t="str">
        <x:f>IF(AND(20&gt;=$B23,20&lt;=$C23),"■","")</x:f>
      </x:c>
      <x:c r="AD23" s="42" t="str">
        <x:f>IF(AND(21&gt;=$B23,21&lt;=$C23),"■","")</x:f>
      </x:c>
      <x:c r="AE23" s="42" t="str">
        <x:f>IF(AND(22&gt;=$B23,22&lt;=$C23),"■","")</x:f>
      </x:c>
      <x:c r="AF23" s="42" t="str">
        <x:f>IF(AND(23&gt;=$B23,23&lt;=$C23),"■","")</x:f>
      </x:c>
      <x:c r="AG23" s="42" t="str">
        <x:f>IF(AND(24&gt;=$B23,24&lt;=$C23),"■","")</x:f>
      </x:c>
      <x:c r="AH23" s="42" t="str">
        <x:f>IF(AND(25&gt;=$B23,25&lt;=$C23),"■","")</x:f>
      </x:c>
      <x:c r="AI23" s="42" t="str">
        <x:f>IF(AND(26&gt;=$B23,26&lt;=$C23),"■","")</x:f>
      </x:c>
      <x:c r="AJ23" s="42" t="str">
        <x:f>IF(AND(27&gt;=$B23,27&lt;=$C23),"■","")</x:f>
      </x:c>
      <x:c r="AK23" s="42" t="str">
        <x:f>IF(AND(28&gt;=$B23,28&lt;=$C23),"■","")</x:f>
      </x:c>
      <x:c r="AL23" s="42" t="str">
        <x:f>IF(AND(29&gt;=$B23,29&lt;=$C23),"■","")</x:f>
      </x:c>
      <x:c r="AM23" s="42" t="str">
        <x:f>IF(AND(30&gt;=$B23,30&lt;=$C23),"■","")</x:f>
      </x:c>
      <x:c r="AN23" s="42" t="str">
        <x:f>IF(AND(31&gt;=$B23,31&lt;=$C23),"■","")</x:f>
      </x:c>
      <x:c r="AO23" s="42" t="str">
        <x:f>IF(AND(32&gt;=$B23,32&lt;=$C23),"■","")</x:f>
      </x:c>
      <x:c r="AP23" s="42" t="str">
        <x:f>IF(AND(33&gt;=$B23,33&lt;=$C23),"■","")</x:f>
      </x:c>
      <x:c r="AQ23" s="42" t="str">
        <x:f>IF(AND(34&gt;=$B23,34&lt;=$C23),"■","")</x:f>
      </x:c>
      <x:c r="AR23" s="42" t="str">
        <x:f>IF(AND(35&gt;=$B23,35&lt;=$C23),"■","")</x:f>
      </x:c>
      <x:c r="AS23" s="42" t="str">
        <x:f>IF(AND(36&gt;=$B23,36&lt;=$C23),"■","")</x:f>
      </x:c>
      <x:c r="AT23" s="42" t="str">
        <x:f>IF(AND(37&gt;=$B23,37&lt;=$C23),"■","")</x:f>
      </x:c>
      <x:c r="AU23" s="42" t="str">
        <x:f>IF(AND(38&gt;=$B23,38&lt;=$C23),"■","")</x:f>
      </x:c>
      <x:c r="AV23" s="42" t="str">
        <x:f>IF(AND(39&gt;=$B23,39&lt;=$C23),"■","")</x:f>
        <x:v>■</x:v>
      </x:c>
      <x:c r="AW23" s="15" t="n">
        <x:f>I23-H23+1</x:f>
        <x:v>3</x:v>
      </x:c>
    </x:row>
    <x:row r="24">
      <x:c r="A24" s="15" t="str">
        <x:v>5.2</x:v>
      </x:c>
      <x:c r="B24" s="17" t="n">
        <x:v>39</x:v>
      </x:c>
      <x:c r="C24" s="17" t="n">
        <x:v>39</x:v>
      </x:c>
      <x:c r="D24" s="15" t="str">
        <x:v>Accept handover and set benefits cadence</x:v>
      </x:c>
      <x:c r="E24" s="15" t="str">
        <x:v>Consultant leads</x:v>
      </x:c>
      <x:c r="F24" s="15" t="str">
        <x:v>Operational owners</x:v>
      </x:c>
      <x:c r="G24" s="15" t="str">
        <x:v>M6A</x:v>
      </x:c>
      <x:c r="H24" s="32" t="n">
        <x:f>'Assumptions'!$B$5+7*(B24-1)</x:f>
        <x:v>46566</x:v>
      </x:c>
      <x:c r="I24" s="32" t="n">
        <x:f>MIN('Assumptions'!$B$5+7*C24-3,DATE(2027,6,30))</x:f>
        <x:v>46568</x:v>
      </x:c>
      <x:c r="J24" s="42" t="str">
        <x:f>IF(AND(1&gt;=$B24,1&lt;=$C24),"■","")</x:f>
      </x:c>
      <x:c r="K24" s="42" t="str">
        <x:f>IF(AND(2&gt;=$B24,2&lt;=$C24),"■","")</x:f>
      </x:c>
      <x:c r="L24" s="42" t="str">
        <x:f>IF(AND(3&gt;=$B24,3&lt;=$C24),"■","")</x:f>
      </x:c>
      <x:c r="M24" s="42" t="str">
        <x:f>IF(AND(4&gt;=$B24,4&lt;=$C24),"■","")</x:f>
      </x:c>
      <x:c r="N24" s="42" t="str">
        <x:f>IF(AND(5&gt;=$B24,5&lt;=$C24),"■","")</x:f>
      </x:c>
      <x:c r="O24" s="42" t="str">
        <x:f>IF(AND(6&gt;=$B24,6&lt;=$C24),"■","")</x:f>
      </x:c>
      <x:c r="P24" s="42" t="str">
        <x:f>IF(AND(7&gt;=$B24,7&lt;=$C24),"■","")</x:f>
      </x:c>
      <x:c r="Q24" s="42" t="str">
        <x:f>IF(AND(8&gt;=$B24,8&lt;=$C24),"■","")</x:f>
      </x:c>
      <x:c r="R24" s="42" t="str">
        <x:f>IF(AND(9&gt;=$B24,9&lt;=$C24),"■","")</x:f>
      </x:c>
      <x:c r="S24" s="42" t="str">
        <x:f>IF(AND(10&gt;=$B24,10&lt;=$C24),"■","")</x:f>
      </x:c>
      <x:c r="T24" s="42" t="str">
        <x:f>IF(AND(11&gt;=$B24,11&lt;=$C24),"■","")</x:f>
      </x:c>
      <x:c r="U24" s="42" t="str">
        <x:f>IF(AND(12&gt;=$B24,12&lt;=$C24),"■","")</x:f>
      </x:c>
      <x:c r="V24" s="42" t="str">
        <x:f>IF(AND(13&gt;=$B24,13&lt;=$C24),"■","")</x:f>
      </x:c>
      <x:c r="W24" s="42" t="str">
        <x:f>IF(AND(14&gt;=$B24,14&lt;=$C24),"■","")</x:f>
      </x:c>
      <x:c r="X24" s="42" t="str">
        <x:f>IF(AND(15&gt;=$B24,15&lt;=$C24),"■","")</x:f>
      </x:c>
      <x:c r="Y24" s="42" t="str">
        <x:f>IF(AND(16&gt;=$B24,16&lt;=$C24),"■","")</x:f>
      </x:c>
      <x:c r="Z24" s="42" t="str">
        <x:f>IF(AND(17&gt;=$B24,17&lt;=$C24),"■","")</x:f>
      </x:c>
      <x:c r="AA24" s="42" t="str">
        <x:f>IF(AND(18&gt;=$B24,18&lt;=$C24),"■","")</x:f>
      </x:c>
      <x:c r="AB24" s="42" t="str">
        <x:f>IF(AND(19&gt;=$B24,19&lt;=$C24),"■","")</x:f>
      </x:c>
      <x:c r="AC24" s="42" t="str">
        <x:f>IF(AND(20&gt;=$B24,20&lt;=$C24),"■","")</x:f>
      </x:c>
      <x:c r="AD24" s="42" t="str">
        <x:f>IF(AND(21&gt;=$B24,21&lt;=$C24),"■","")</x:f>
      </x:c>
      <x:c r="AE24" s="42" t="str">
        <x:f>IF(AND(22&gt;=$B24,22&lt;=$C24),"■","")</x:f>
      </x:c>
      <x:c r="AF24" s="42" t="str">
        <x:f>IF(AND(23&gt;=$B24,23&lt;=$C24),"■","")</x:f>
      </x:c>
      <x:c r="AG24" s="42" t="str">
        <x:f>IF(AND(24&gt;=$B24,24&lt;=$C24),"■","")</x:f>
      </x:c>
      <x:c r="AH24" s="42" t="str">
        <x:f>IF(AND(25&gt;=$B24,25&lt;=$C24),"■","")</x:f>
      </x:c>
      <x:c r="AI24" s="42" t="str">
        <x:f>IF(AND(26&gt;=$B24,26&lt;=$C24),"■","")</x:f>
      </x:c>
      <x:c r="AJ24" s="42" t="str">
        <x:f>IF(AND(27&gt;=$B24,27&lt;=$C24),"■","")</x:f>
      </x:c>
      <x:c r="AK24" s="42" t="str">
        <x:f>IF(AND(28&gt;=$B24,28&lt;=$C24),"■","")</x:f>
      </x:c>
      <x:c r="AL24" s="42" t="str">
        <x:f>IF(AND(29&gt;=$B24,29&lt;=$C24),"■","")</x:f>
      </x:c>
      <x:c r="AM24" s="42" t="str">
        <x:f>IF(AND(30&gt;=$B24,30&lt;=$C24),"■","")</x:f>
      </x:c>
      <x:c r="AN24" s="42" t="str">
        <x:f>IF(AND(31&gt;=$B24,31&lt;=$C24),"■","")</x:f>
      </x:c>
      <x:c r="AO24" s="42" t="str">
        <x:f>IF(AND(32&gt;=$B24,32&lt;=$C24),"■","")</x:f>
      </x:c>
      <x:c r="AP24" s="42" t="str">
        <x:f>IF(AND(33&gt;=$B24,33&lt;=$C24),"■","")</x:f>
      </x:c>
      <x:c r="AQ24" s="42" t="str">
        <x:f>IF(AND(34&gt;=$B24,34&lt;=$C24),"■","")</x:f>
      </x:c>
      <x:c r="AR24" s="42" t="str">
        <x:f>IF(AND(35&gt;=$B24,35&lt;=$C24),"■","")</x:f>
      </x:c>
      <x:c r="AS24" s="42" t="str">
        <x:f>IF(AND(36&gt;=$B24,36&lt;=$C24),"■","")</x:f>
      </x:c>
      <x:c r="AT24" s="42" t="str">
        <x:f>IF(AND(37&gt;=$B24,37&lt;=$C24),"■","")</x:f>
      </x:c>
      <x:c r="AU24" s="42" t="str">
        <x:f>IF(AND(38&gt;=$B24,38&lt;=$C24),"■","")</x:f>
      </x:c>
      <x:c r="AV24" s="42" t="str">
        <x:f>IF(AND(39&gt;=$B24,39&lt;=$C24),"■","")</x:f>
        <x:v>■</x:v>
      </x:c>
      <x:c r="AW24" s="15" t="n">
        <x:f>I24-H24+1</x:f>
        <x:v>3</x:v>
      </x:c>
    </x:row>
    <x:row r="27" ht="22" customHeight="1">
      <x:c r="D27" s="25" t="str">
        <x:v>Milestones</x:v>
      </x:c>
      <x:c r="E27" s="25" t="str">
        <x:v>Milestones</x:v>
      </x:c>
      <x:c r="F27" s="25" t="str">
        <x:v>Milestones</x:v>
      </x:c>
      <x:c r="G27" s="25" t="str">
        <x:v>Milestones</x:v>
      </x:c>
      <x:c r="H27" s="25" t="str">
        <x:v>Milestones</x:v>
      </x:c>
      <x:c r="I27" s="25" t="str">
        <x:v>Milestones</x:v>
      </x:c>
    </x:row>
    <x:row r="28">
      <x:c r="D28" s="11" t="str">
        <x:v>Milestone</x:v>
      </x:c>
      <x:c r="E28" s="11" t="str">
        <x:v>Date</x:v>
      </x:c>
      <x:c r="F28" s="11" t="str">
        <x:v>Required evidence / decision</x:v>
      </x:c>
    </x:row>
    <x:row r="29">
      <x:c r="D29" s="15" t="str">
        <x:v>M0 Kickoff</x:v>
      </x:c>
      <x:c r="E29" s="43" t="n">
        <x:v>46300</x:v>
      </x:c>
      <x:c r="F29" s="15" t="str">
        <x:v>Signed SOW, sponsor and team confirmed</x:v>
      </x:c>
    </x:row>
    <x:row r="30">
      <x:c r="D30" s="15" t="str">
        <x:v>M1 Problem/governance gate</x:v>
      </x:c>
      <x:c r="E30" s="43" t="n">
        <x:v>46318</x:v>
      </x:c>
      <x:c r="F30" s="15" t="str">
        <x:v>Concept verdict, scope/RACI and control decision</x:v>
      </x:c>
    </x:row>
    <x:row r="31">
      <x:c r="D31" s="15" t="str">
        <x:v>M2 Baseline/release gate</x:v>
      </x:c>
      <x:c r="E31" s="43" t="n">
        <x:v>46346</x:v>
      </x:c>
      <x:c r="F31" s="15" t="str">
        <x:v>Validated AS-IS, B0-B3, data/power and economics</x:v>
      </x:c>
    </x:row>
    <x:row r="32">
      <x:c r="D32" s="15" t="str">
        <x:v>M3 Prototype/design gate</x:v>
      </x:c>
      <x:c r="E32" s="43" t="n">
        <x:v>46374</x:v>
      </x:c>
      <x:c r="F32" s="15" t="str">
        <x:v>TO-BE, prototype, requirements and cost update</x:v>
      </x:c>
    </x:row>
    <x:row r="33">
      <x:c r="D33" s="15" t="str">
        <x:v>M4 Operational-readiness gate</x:v>
      </x:c>
      <x:c r="E33" s="43" t="n">
        <x:v>46444</x:v>
      </x:c>
      <x:c r="F33" s="15" t="str">
        <x:v>Test, UAT, security, training and rollback passed</x:v>
      </x:c>
    </x:row>
    <x:row r="34">
      <x:c r="D34" s="15" t="str">
        <x:v>M5 Pilot start</x:v>
      </x:c>
      <x:c r="E34" s="43" t="n">
        <x:v>46447</x:v>
      </x:c>
      <x:c r="F34" s="15" t="str">
        <x:v>Assignment and monitoring activated</x:v>
      </x:c>
    </x:row>
    <x:row r="35">
      <x:c r="D35" s="15" t="str">
        <x:v>Cohort enrolment closes</x:v>
      </x:c>
      <x:c r="E35" s="43" t="n">
        <x:v>46465</x:v>
      </x:c>
      <x:c r="F35" s="15" t="str">
        <x:v>Last assignment must mature before data cut</x:v>
      </x:c>
    </x:row>
    <x:row r="36">
      <x:c r="D36" s="15" t="str">
        <x:v>M6 Data cut</x:v>
      </x:c>
      <x:c r="E36" s="43" t="n">
        <x:v>46559</x:v>
      </x:c>
      <x:c r="F36" s="15" t="str">
        <x:v>Complete-cohort 90-day observation plus QA buffer</x:v>
      </x:c>
    </x:row>
    <x:row r="37">
      <x:c r="D37" s="15" t="str">
        <x:v>M6A Accepted readout</x:v>
      </x:c>
      <x:c r="E37" s="43" t="n">
        <x:v>46563</x:v>
      </x:c>
      <x:c r="F37" s="15" t="str">
        <x:v>ITT, sensitivity, guardrails and economics accepted</x:v>
      </x:c>
    </x:row>
    <x:row r="38">
      <x:c r="D38" s="15" t="str">
        <x:v>M7 Decision/handover</x:v>
      </x:c>
      <x:c r="E38" s="43" t="n">
        <x:v>46568</x:v>
      </x:c>
      <x:c r="F38" s="15" t="str">
        <x:v>Decision and named benefit/control ownership</x:v>
      </x:c>
    </x:row>
  </x:sheetData>
  <x:mergeCells>
    <x:mergeCell ref="A1:AV1"/>
    <x:mergeCell ref="A2:AV2"/>
    <x:mergeCell ref="D27:I27"/>
  </x:mergeCells>
  <x:conditionalFormatting sqref="J5:AV24">
    <x:cfRule type="expression" dxfId="0" priority="1">
      <x:formula>AND(J$4&lt;=$I5,J$4+6&gt;=$H5)</x:formula>
    </x:cfRule>
  </x:conditionalFormatting>
  <x:dataValidations count="1">
    <x:dataValidation type="whole" operator="between" sqref="B5:C24">
      <x:formula1>1</x:formula1>
      <x:formula2>39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7" hidden="0" customWidth="1"/>
    <x:col min="4" max="4" width="18" hidden="0" customWidth="1"/>
    <x:col min="5" max="5" width="20" hidden="0" customWidth="1"/>
    <x:col min="6" max="6" width="20" hidden="0" customWidth="1"/>
    <x:col min="7" max="7" width="21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12" hidden="0" customWidth="1"/>
    <x:col min="13" max="13" width="14" hidden="0" customWidth="1"/>
    <x:col min="14" max="14" width="42" hidden="0" customWidth="1"/>
  </x:cols>
  <x:sheetData>
    <x:row r="1" ht="34" customHeight="1">
      <x:c r="A1" s="3" t="str">
        <x:v>Cost-benefit scenarios</x:v>
      </x:c>
      <x:c r="B1" s="3" t="str">
        <x:v>Cost-benefit scenarios</x:v>
      </x:c>
      <x:c r="C1" s="3" t="str">
        <x:v>Cost-benefit scenarios</x:v>
      </x:c>
      <x:c r="D1" s="3" t="str">
        <x:v>Cost-benefit scenarios</x:v>
      </x:c>
      <x:c r="E1" s="3" t="str">
        <x:v>Cost-benefit scenarios</x:v>
      </x:c>
      <x:c r="F1" s="3" t="str">
        <x:v>Cost-benefit scenarios</x:v>
      </x:c>
      <x:c r="G1" s="3" t="str">
        <x:v>Cost-benefit scenarios</x:v>
      </x:c>
      <x:c r="H1" s="3" t="str">
        <x:v>Cost-benefit scenarios</x:v>
      </x:c>
      <x:c r="I1" s="3" t="str">
        <x:v>Cost-benefit scenarios</x:v>
      </x:c>
      <x:c r="J1" s="3" t="str">
        <x:v>Cost-benefit scenarios</x:v>
      </x:c>
      <x:c r="K1" s="3" t="str">
        <x:v>Cost-benefit scenarios</x:v>
      </x:c>
      <x:c r="L1" s="3" t="str">
        <x:v>Cost-benefit scenarios</x:v>
      </x:c>
      <x:c r="M1" s="3" t="str">
        <x:v>Cost-benefit scenarios</x:v>
      </x:c>
      <x:c r="N1" s="3" t="str">
        <x:v>Cost-benefit scenarios</x:v>
      </x:c>
    </x:row>
    <x:row r="2" ht="28" customHeight="1">
      <x:c r="A2" s="6" t="str">
        <x:v>Formula-driven evidence cases and volume/effect sensitivities. Negative NPV remains the base gate-consistent result.</x:v>
      </x:c>
      <x:c r="B2" s="6" t="str">
        <x:v>Formula-driven evidence cases and volume/effect sensitivities. Negative NPV remains the base gate-consistent result.</x:v>
      </x:c>
      <x:c r="C2" s="6" t="str">
        <x:v>Formula-driven evidence cases and volume/effect sensitivities. Negative NPV remains the base gate-consistent result.</x:v>
      </x:c>
      <x:c r="D2" s="6" t="str">
        <x:v>Formula-driven evidence cases and volume/effect sensitivities. Negative NPV remains the base gate-consistent result.</x:v>
      </x:c>
      <x:c r="E2" s="6" t="str">
        <x:v>Formula-driven evidence cases and volume/effect sensitivities. Negative NPV remains the base gate-consistent result.</x:v>
      </x:c>
      <x:c r="F2" s="6" t="str">
        <x:v>Formula-driven evidence cases and volume/effect sensitivities. Negative NPV remains the base gate-consistent result.</x:v>
      </x:c>
      <x:c r="G2" s="6" t="str">
        <x:v>Formula-driven evidence cases and volume/effect sensitivities. Negative NPV remains the base gate-consistent result.</x:v>
      </x:c>
      <x:c r="H2" s="6" t="str">
        <x:v>Formula-driven evidence cases and volume/effect sensitivities. Negative NPV remains the base gate-consistent result.</x:v>
      </x:c>
      <x:c r="I2" s="6" t="str">
        <x:v>Formula-driven evidence cases and volume/effect sensitivities. Negative NPV remains the base gate-consistent result.</x:v>
      </x:c>
      <x:c r="J2" s="6" t="str">
        <x:v>Formula-driven evidence cases and volume/effect sensitivities. Negative NPV remains the base gate-consistent result.</x:v>
      </x:c>
      <x:c r="K2" s="6" t="str">
        <x:v>Formula-driven evidence cases and volume/effect sensitivities. Negative NPV remains the base gate-consistent result.</x:v>
      </x:c>
      <x:c r="L2" s="6" t="str">
        <x:v>Formula-driven evidence cases and volume/effect sensitivities. Negative NPV remains the base gate-consistent result.</x:v>
      </x:c>
      <x:c r="M2" s="6" t="str">
        <x:v>Formula-driven evidence cases and volume/effect sensitivities. Negative NPV remains the base gate-consistent result.</x:v>
      </x:c>
      <x:c r="N2" s="6" t="str">
        <x:v>Formula-driven evidence cases and volume/effect sensitivities. Negative NPV remains the base gate-consistent result.</x:v>
      </x:c>
    </x:row>
    <x:row r="4" ht="22" customHeight="1">
      <x:c r="A4" s="25" t="str">
        <x:v>Evidence-boundary cases</x:v>
      </x:c>
      <x:c r="B4" s="25" t="str">
        <x:v>Evidence-boundary cases</x:v>
      </x:c>
      <x:c r="C4" s="25" t="str">
        <x:v>Evidence-boundary cases</x:v>
      </x:c>
      <x:c r="D4" s="25" t="str">
        <x:v>Evidence-boundary cases</x:v>
      </x:c>
      <x:c r="E4" s="25" t="str">
        <x:v>Evidence-boundary cases</x:v>
      </x:c>
      <x:c r="F4" s="25" t="str">
        <x:v>Evidence-boundary cases</x:v>
      </x:c>
      <x:c r="G4" s="25" t="str">
        <x:v>Evidence-boundary cases</x:v>
      </x:c>
      <x:c r="H4" s="25" t="str">
        <x:v>Evidence-boundary cases</x:v>
      </x:c>
      <x:c r="I4" s="25" t="str">
        <x:v>Evidence-boundary cases</x:v>
      </x:c>
      <x:c r="J4" s="25" t="str">
        <x:v>Evidence-boundary cases</x:v>
      </x:c>
      <x:c r="K4" s="25" t="str">
        <x:v>Evidence-boundary cases</x:v>
      </x:c>
      <x:c r="L4" s="25" t="str">
        <x:v>Evidence-boundary cases</x:v>
      </x:c>
      <x:c r="M4" s="25" t="str">
        <x:v>Evidence-boundary cases</x:v>
      </x:c>
      <x:c r="N4" s="25" t="str">
        <x:v>Evidence-boundary cases</x:v>
      </x:c>
    </x:row>
    <x:row r="5">
      <x:c r="A5" s="11" t="str">
        <x:v>Case</x:v>
      </x:c>
      <x:c r="B5" s="11" t="str">
        <x:v>Retention days / saved connection</x:v>
      </x:c>
      <x:c r="C5" s="11" t="str">
        <x:v>Contact cashability</x:v>
      </x:c>
      <x:c r="D5" s="11" t="str">
        <x:v>Saved connections</x:v>
      </x:c>
      <x:c r="E5" s="11" t="str">
        <x:v>Retention benefit ($m)</x:v>
      </x:c>
      <x:c r="F5" s="11" t="str">
        <x:v>Contact benefit ($m)</x:v>
      </x:c>
      <x:c r="G5" s="11" t="str">
        <x:v>Full annual benefit ($m)</x:v>
      </x:c>
      <x:c r="H5" s="11" t="str">
        <x:v>Year 1 benefit</x:v>
      </x:c>
      <x:c r="I5" s="11" t="str">
        <x:v>Year 2 benefit</x:v>
      </x:c>
      <x:c r="J5" s="11" t="str">
        <x:v>Year 3 benefit</x:v>
      </x:c>
      <x:c r="K5" s="11" t="str">
        <x:v>3-year NPV ($m)</x:v>
      </x:c>
      <x:c r="L5" s="11" t="str">
        <x:v>BCR</x:v>
      </x:c>
      <x:c r="M5" s="11" t="str">
        <x:v>ROI</x:v>
      </x:c>
      <x:c r="N5" s="11" t="str">
        <x:v>Decision meaning</x:v>
      </x:c>
    </x:row>
    <x:row r="6">
      <x:c r="A6" s="15" t="str">
        <x:v>90-day planning floor</x:v>
      </x:c>
      <x:c r="B6" s="27" t="n">
        <x:v>45</x:v>
      </x:c>
      <x:c r="C6" s="49" t="n">
        <x:v>0</x:v>
      </x:c>
      <x:c r="D6" s="50" t="n">
        <x:f>'Assumptions'!$B$6*'Assumptions'!$B$7*'Assumptions'!$B$8</x:f>
        <x:v>4500</x:v>
      </x:c>
      <x:c r="E6" s="51" t="n">
        <x:f>D6*B6*'Assumptions'!$B$9*'Assumptions'!$B$10/365/1000000</x:f>
        <x:v>0.12636512118018967</x:v>
      </x:c>
      <x:c r="F6" s="51" t="n">
        <x:f>'Assumptions'!$B$11*'Assumptions'!$B$12*C6/1000000</x:f>
        <x:v>0</x:v>
      </x:c>
      <x:c r="G6" s="51" t="n">
        <x:f>E6+F6</x:f>
        <x:v>0.12636512118018967</x:v>
      </x:c>
      <x:c r="H6" s="51" t="n">
        <x:f>G6*'Assumptions'!$B$16</x:f>
        <x:v>0.015795640147523708</x:v>
      </x:c>
      <x:c r="I6" s="51" t="n">
        <x:f>G6*'Assumptions'!$B$17</x:f>
        <x:v>0.07581907270811379</x:v>
      </x:c>
      <x:c r="J6" s="51" t="n">
        <x:f>G6*'Assumptions'!$B$18</x:f>
        <x:v>0.12636512118018967</x:v>
      </x:c>
      <x:c r="K6" s="51" t="n">
        <x:f>-'Assumptions'!$B$13+(H6-'Assumptions'!$B$14)/(1+'Assumptions'!$B$15)+(I6-'Assumptions'!$B$14)/(1+'Assumptions'!$B$15)^2+(J6-'Assumptions'!$B$14)/(1+'Assumptions'!$B$15)^3</x:f>
        <x:v>-3.495172107296728</x:v>
      </x:c>
      <x:c r="L6" s="57" t="n">
        <x:f>(H6/(1+'Assumptions'!$B$15)+I6/(1+'Assumptions'!$B$15)^2+J6/(1+'Assumptions'!$B$15)^3)/('Assumptions'!$B$13+'Assumptions'!$B$14/(1+'Assumptions'!$B$15)+'Assumptions'!$B$14/(1+'Assumptions'!$B$15)^2+'Assumptions'!$B$14/(1+'Assumptions'!$B$15)^3)</x:f>
        <x:v>0.04896201351417842</x:v>
      </x:c>
      <x:c r="M6" s="52" t="n">
        <x:f>((H6+I6+J6)-'Assumptions'!$B$13-3*'Assumptions'!$B$14)/('Assumptions'!$B$13+3*'Assumptions'!$B$14)</x:f>
        <x:v>-0.944815231889664</x:v>
      </x:c>
      <x:c r="N6" s="15" t="str">
        <x:v>H1Q alone does not fund implementation</x:v>
      </x:c>
    </x:row>
    <x:row r="7">
      <x:c r="A7" s="15" t="str">
        <x:v>90-day + cashable capacity</x:v>
      </x:c>
      <x:c r="B7" s="27" t="n">
        <x:v>45</x:v>
      </x:c>
      <x:c r="C7" s="49" t="n">
        <x:v>1</x:v>
      </x:c>
      <x:c r="D7" s="50" t="n">
        <x:f>'Assumptions'!$B$6*'Assumptions'!$B$7*'Assumptions'!$B$8</x:f>
        <x:v>4500</x:v>
      </x:c>
      <x:c r="E7" s="51" t="n">
        <x:f>D7*B7*'Assumptions'!$B$9*'Assumptions'!$B$10/365/1000000</x:f>
        <x:v>0.12636512118018967</x:v>
      </x:c>
      <x:c r="F7" s="51" t="n">
        <x:f>'Assumptions'!$B$11*'Assumptions'!$B$12*C7/1000000</x:f>
        <x:v>0.9</x:v>
      </x:c>
      <x:c r="G7" s="51" t="n">
        <x:f>E7+F7</x:f>
        <x:v>1.0263651211801896</x:v>
      </x:c>
      <x:c r="H7" s="51" t="n">
        <x:f>G7*'Assumptions'!$B$16</x:f>
        <x:v>0.1282956401475237</x:v>
      </x:c>
      <x:c r="I7" s="51" t="n">
        <x:f>G7*'Assumptions'!$B$17</x:f>
        <x:v>0.6158190727081138</x:v>
      </x:c>
      <x:c r="J7" s="51" t="n">
        <x:f>G7*'Assumptions'!$B$18</x:f>
        <x:v>1.0263651211801896</x:v>
      </x:c>
      <x:c r="K7" s="51" t="n">
        <x:f>-'Assumptions'!$B$13+(H7-'Assumptions'!$B$14)/(1+'Assumptions'!$B$15)+(I7-'Assumptions'!$B$14)/(1+'Assumptions'!$B$15)^2+(J7-'Assumptions'!$B$14)/(1+'Assumptions'!$B$15)^3</x:f>
        <x:v>-2.213593460748946</x:v>
      </x:c>
      <x:c r="L7" s="57" t="n">
        <x:f>(H7/(1+'Assumptions'!$B$15)+I7/(1+'Assumptions'!$B$15)^2+J7/(1+'Assumptions'!$B$15)^3)/('Assumptions'!$B$13+'Assumptions'!$B$14/(1+'Assumptions'!$B$15)+'Assumptions'!$B$14/(1+'Assumptions'!$B$15)^2+'Assumptions'!$B$14/(1+'Assumptions'!$B$15)^3)</x:f>
        <x:v>0.39768017048033344</x:v>
      </x:c>
      <x:c r="M7" s="52" t="n">
        <x:f>((H7+I7+J7)-'Assumptions'!$B$13-3*'Assumptions'!$B$14)/('Assumptions'!$B$13+3*'Assumptions'!$B$14)</x:f>
        <x:v>-0.5517772572061198</x:v>
      </x:c>
      <x:c r="N7" s="15" t="str">
        <x:v>Cashable contact value remains insufficient</x:v>
      </x:c>
    </x:row>
    <x:row r="8">
      <x:c r="A8" s="15" t="str">
        <x:v>Conditional persistence / cashability</x:v>
      </x:c>
      <x:c r="B8" s="27" t="n">
        <x:v>320</x:v>
      </x:c>
      <x:c r="C8" s="49" t="n">
        <x:v>1</x:v>
      </x:c>
      <x:c r="D8" s="50" t="n">
        <x:f>'Assumptions'!$B$6*'Assumptions'!$B$7*'Assumptions'!$B$8</x:f>
        <x:v>4500</x:v>
      </x:c>
      <x:c r="E8" s="51" t="n">
        <x:f>D8*B8*'Assumptions'!$B$9*'Assumptions'!$B$10/365/1000000</x:f>
        <x:v>0.8985964172813488</x:v>
      </x:c>
      <x:c r="F8" s="51" t="n">
        <x:f>'Assumptions'!$B$11*'Assumptions'!$B$12*C8/1000000</x:f>
        <x:v>0.9</x:v>
      </x:c>
      <x:c r="G8" s="51" t="n">
        <x:f>E8+F8</x:f>
        <x:v>1.798596417281349</x:v>
      </x:c>
      <x:c r="H8" s="51" t="n">
        <x:f>G8*'Assumptions'!$B$16</x:f>
        <x:v>0.2248245521601686</x:v>
      </x:c>
      <x:c r="I8" s="51" t="n">
        <x:f>G8*'Assumptions'!$B$17</x:f>
        <x:v>1.0791578503688093</x:v>
      </x:c>
      <x:c r="J8" s="51" t="n">
        <x:f>G8*'Assumptions'!$B$18</x:f>
        <x:v>1.798596417281349</x:v>
      </x:c>
      <x:c r="K8" s="51" t="n">
        <x:f>-'Assumptions'!$B$13+(H8-'Assumptions'!$B$14)/(1+'Assumptions'!$B$15)+(I8-'Assumptions'!$B$14)/(1+'Assumptions'!$B$15)^2+(J8-'Assumptions'!$B$14)/(1+'Assumptions'!$B$15)^3</x:f>
        <x:v>-1.1139544171054307</x:v>
      </x:c>
      <x:c r="L8" s="57" t="n">
        <x:f>(H8/(1+'Assumptions'!$B$15)+I8/(1+'Assumptions'!$B$15)^2+J8/(1+'Assumptions'!$B$15)^3)/('Assumptions'!$B$13+'Assumptions'!$B$14/(1+'Assumptions'!$B$15)+'Assumptions'!$B$14/(1+'Assumptions'!$B$15)^2+'Assumptions'!$B$14/(1+'Assumptions'!$B$15)^3)</x:f>
        <x:v>0.6968924752892017</x:v>
      </x:c>
      <x:c r="M8" s="52" t="n">
        <x:f>((H8+I8+J8)-'Assumptions'!$B$13-3*'Assumptions'!$B$14)/('Assumptions'!$B$13+3*'Assumptions'!$B$14)</x:f>
        <x:v>-0.21453700764295533</x:v>
      </x:c>
      <x:c r="N8" s="15" t="str">
        <x:v>Still negative under gate-consistent rollout</x:v>
      </x:c>
    </x:row>
    <x:row r="11" ht="22" customHeight="1">
      <x:c r="A11" s="25" t="str">
        <x:v>Volume and effect sensitivity</x:v>
      </x:c>
      <x:c r="B11" s="25" t="str">
        <x:v>Volume and effect sensitivity</x:v>
      </x:c>
      <x:c r="C11" s="25" t="str">
        <x:v>Volume and effect sensitivity</x:v>
      </x:c>
      <x:c r="D11" s="25" t="str">
        <x:v>Volume and effect sensitivity</x:v>
      </x:c>
      <x:c r="E11" s="25" t="str">
        <x:v>Volume and effect sensitivity</x:v>
      </x:c>
      <x:c r="F11" s="25" t="str">
        <x:v>Volume and effect sensitivity</x:v>
      </x:c>
      <x:c r="G11" s="25" t="str">
        <x:v>Volume and effect sensitivity</x:v>
      </x:c>
      <x:c r="H11" s="25" t="str">
        <x:v>Volume and effect sensitivity</x:v>
      </x:c>
      <x:c r="I11" s="25" t="str">
        <x:v>Volume and effect sensitivity</x:v>
      </x:c>
      <x:c r="J11" s="25" t="str">
        <x:v>Volume and effect sensitivity</x:v>
      </x:c>
      <x:c r="K11" s="25" t="str">
        <x:v>Volume and effect sensitivity</x:v>
      </x:c>
      <x:c r="L11" s="25" t="str">
        <x:v>Volume and effect sensitivity</x:v>
      </x:c>
      <x:c r="M11" s="25" t="str">
        <x:v>Volume and effect sensitivity</x:v>
      </x:c>
      <x:c r="N11" s="25" t="str">
        <x:v>Volume and effect sensitivity</x:v>
      </x:c>
    </x:row>
    <x:row r="12">
      <x:c r="A12" s="11" t="str">
        <x:v>Scenario</x:v>
      </x:c>
      <x:c r="B12" s="11" t="str">
        <x:v>Eligible starters</x:v>
      </x:c>
      <x:c r="C12" s="11" t="str">
        <x:v>Baseline churn</x:v>
      </x:c>
      <x:c r="D12" s="11" t="str">
        <x:v>Relative reduction</x:v>
      </x:c>
      <x:c r="E12" s="11" t="str">
        <x:v>Contribution rate</x:v>
      </x:c>
      <x:c r="F12" s="11" t="str">
        <x:v>Saved connections</x:v>
      </x:c>
      <x:c r="G12" s="11" t="str">
        <x:v>Contact benefit ($m)</x:v>
      </x:c>
      <x:c r="H12" s="11" t="str">
        <x:v>Retention benefit ($m)</x:v>
      </x:c>
      <x:c r="I12" s="11" t="str">
        <x:v>Full annual benefit ($m)</x:v>
      </x:c>
      <x:c r="J12" s="11" t="str">
        <x:v>Year 1 benefit</x:v>
      </x:c>
      <x:c r="K12" s="11" t="str">
        <x:v>Year 2 benefit</x:v>
      </x:c>
      <x:c r="L12" s="11" t="str">
        <x:v>Year 3 benefit</x:v>
      </x:c>
      <x:c r="M12" s="11" t="str">
        <x:v>3-year NPV ($m)</x:v>
      </x:c>
      <x:c r="N12" s="11" t="str">
        <x:v>ROI</x:v>
      </x:c>
    </x:row>
    <x:row r="13">
      <x:c r="A13" s="31" t="str">
        <x:f>'Assumptions'!A24</x:f>
        <x:v>Conservative</x:v>
      </x:c>
      <x:c r="B13" s="31" t="n">
        <x:f>'Assumptions'!B24</x:f>
        <x:v>400000</x:v>
      </x:c>
      <x:c r="C13" s="53" t="n">
        <x:f>'Assumptions'!C24</x:f>
        <x:v>0.04</x:v>
      </x:c>
      <x:c r="D13" s="53" t="n">
        <x:f>'Assumptions'!D24</x:f>
        <x:v>0.1</x:v>
      </x:c>
      <x:c r="E13" s="53" t="n">
        <x:f>'Assumptions'!E24</x:f>
        <x:v>0.5</x:v>
      </x:c>
      <x:c r="F13" s="50" t="n">
        <x:f>B13*C13*D13</x:f>
        <x:v>1600</x:v>
      </x:c>
      <x:c r="G13" s="51" t="n">
        <x:f>'Assumptions'!F24*'Assumptions'!G24*'Assumptions'!I24/1000000</x:f>
        <x:v>0.4</x:v>
      </x:c>
      <x:c r="H13" s="51" t="n">
        <x:f>F13*'Assumptions'!H24*'Assumptions'!$B$9*E13/365/1000000</x:f>
        <x:v>0.26625079030558485</x:v>
      </x:c>
      <x:c r="I13" s="51" t="n">
        <x:f>G13+H13</x:f>
        <x:v>0.6662507903055849</x:v>
      </x:c>
      <x:c r="J13" s="51" t="n">
        <x:f>I13*'Assumptions'!$B$16</x:f>
        <x:v>0.08328134878819811</x:v>
      </x:c>
      <x:c r="K13" s="51" t="n">
        <x:f>I13*'Assumptions'!$B$17</x:f>
        <x:v>0.3997504741833509</x:v>
      </x:c>
      <x:c r="L13" s="51" t="n">
        <x:f>I13*'Assumptions'!$B$18</x:f>
        <x:v>0.6662507903055849</x:v>
      </x:c>
      <x:c r="M13" s="51" t="n">
        <x:f>-'Assumptions'!$B$13+(J13-'Assumptions'!$B$14)/(1+'Assumptions'!$B$15)+(K13-'Assumptions'!$B$14)/(1+'Assumptions'!$B$15)^2+(L13-'Assumptions'!$B$14)/(1+'Assumptions'!$B$15)^3</x:f>
        <x:v>-2.7263877238208747</x:v>
      </x:c>
      <x:c r="N13" s="52" t="n">
        <x:f>((J13+K13+L13)-'Assumptions'!$B$13-3*'Assumptions'!$B$14)/('Assumptions'!$B$13+3*'Assumptions'!$B$14)</x:f>
        <x:v>-0.7090423763855357</x:v>
      </x:c>
    </x:row>
    <x:row r="14">
      <x:c r="A14" s="31" t="str">
        <x:f>'Assumptions'!A25</x:f>
        <x:v>Base</x:v>
      </x:c>
      <x:c r="B14" s="31" t="n">
        <x:f>'Assumptions'!B25</x:f>
        <x:v>600000</x:v>
      </x:c>
      <x:c r="C14" s="53" t="n">
        <x:f>'Assumptions'!C25</x:f>
        <x:v>0.05</x:v>
      </x:c>
      <x:c r="D14" s="53" t="n">
        <x:f>'Assumptions'!D25</x:f>
        <x:v>0.15</x:v>
      </x:c>
      <x:c r="E14" s="53" t="n">
        <x:f>'Assumptions'!E25</x:f>
        <x:v>0.6</x:v>
      </x:c>
      <x:c r="F14" s="50" t="n">
        <x:f>B14*C14*D14</x:f>
        <x:v>4500</x:v>
      </x:c>
      <x:c r="G14" s="51" t="n">
        <x:f>'Assumptions'!F25*'Assumptions'!G25*'Assumptions'!I25/1000000</x:f>
        <x:v>0.9</x:v>
      </x:c>
      <x:c r="H14" s="51" t="n">
        <x:f>F14*'Assumptions'!H25*'Assumptions'!$B$9*E14/365/1000000</x:f>
        <x:v>0.8985964172813488</x:v>
      </x:c>
      <x:c r="I14" s="51" t="n">
        <x:f>G14+H14</x:f>
        <x:v>1.798596417281349</x:v>
      </x:c>
      <x:c r="J14" s="51" t="n">
        <x:f>I14*'Assumptions'!$B$16</x:f>
        <x:v>0.2248245521601686</x:v>
      </x:c>
      <x:c r="K14" s="51" t="n">
        <x:f>I14*'Assumptions'!$B$17</x:f>
        <x:v>1.0791578503688093</x:v>
      </x:c>
      <x:c r="L14" s="51" t="n">
        <x:f>I14*'Assumptions'!$B$18</x:f>
        <x:v>1.798596417281349</x:v>
      </x:c>
      <x:c r="M14" s="51" t="n">
        <x:f>-'Assumptions'!$B$13+(J14-'Assumptions'!$B$14)/(1+'Assumptions'!$B$15)+(K14-'Assumptions'!$B$14)/(1+'Assumptions'!$B$15)^2+(L14-'Assumptions'!$B$14)/(1+'Assumptions'!$B$15)^3</x:f>
        <x:v>-1.1139544171054307</x:v>
      </x:c>
      <x:c r="N14" s="52" t="n">
        <x:f>((J14+K14+L14)-'Assumptions'!$B$13-3*'Assumptions'!$B$14)/('Assumptions'!$B$13+3*'Assumptions'!$B$14)</x:f>
        <x:v>-0.21453700764295533</x:v>
      </x:c>
    </x:row>
    <x:row r="15">
      <x:c r="A15" s="31" t="str">
        <x:f>'Assumptions'!A26</x:f>
        <x:v>Upside</x:v>
      </x:c>
      <x:c r="B15" s="31" t="n">
        <x:f>'Assumptions'!B26</x:f>
        <x:v>800000</x:v>
      </x:c>
      <x:c r="C15" s="53" t="n">
        <x:f>'Assumptions'!C26</x:f>
        <x:v>0.06</x:v>
      </x:c>
      <x:c r="D15" s="53" t="n">
        <x:f>'Assumptions'!D26</x:f>
        <x:v>0.2</x:v>
      </x:c>
      <x:c r="E15" s="53" t="n">
        <x:f>'Assumptions'!E26</x:f>
        <x:v>0.7</x:v>
      </x:c>
      <x:c r="F15" s="50" t="n">
        <x:f>B15*C15*D15</x:f>
        <x:v>9600</x:v>
      </x:c>
      <x:c r="G15" s="51" t="n">
        <x:f>'Assumptions'!F26*'Assumptions'!G26*'Assumptions'!I26/1000000</x:f>
        <x:v>1.68</x:v>
      </x:c>
      <x:c r="H15" s="51" t="n">
        <x:f>F15*'Assumptions'!H26*'Assumptions'!$B$9*E15/365/1000000</x:f>
        <x:v>2.2365066385669126</x:v>
      </x:c>
      <x:c r="I15" s="51" t="n">
        <x:f>G15+H15</x:f>
        <x:v>3.9165066385669123</x:v>
      </x:c>
      <x:c r="J15" s="51" t="n">
        <x:f>I15*'Assumptions'!$B$16</x:f>
        <x:v>0.48956332982086403</x:v>
      </x:c>
      <x:c r="K15" s="51" t="n">
        <x:f>I15*'Assumptions'!$B$17</x:f>
        <x:v>2.3499039831401474</x:v>
      </x:c>
      <x:c r="L15" s="51" t="n">
        <x:f>I15*'Assumptions'!$B$18</x:f>
        <x:v>3.9165066385669123</x:v>
      </x:c>
      <x:c r="M15" s="51" t="n">
        <x:f>-'Assumptions'!$B$13+(J15-'Assumptions'!$B$14)/(1+'Assumptions'!$B$15)+(K15-'Assumptions'!$B$14)/(1+'Assumptions'!$B$15)^2+(L15-'Assumptions'!$B$14)/(1+'Assumptions'!$B$15)^3</x:f>
        <x:v>1.901899488344421</x:v>
      </x:c>
      <x:c r="N15" s="52" t="n">
        <x:f>((J15+K15+L15)-'Assumptions'!$B$13-3*'Assumptions'!$B$14)/('Assumptions'!$B$13+3*'Assumptions'!$B$14)</x:f>
        <x:v>0.7103731522855503</x:v>
      </x:c>
    </x:row>
    <x:row r="18" ht="22" customHeight="1">
      <x:c r="A18" s="25" t="str">
        <x:v>Accelerated-ramp sensitivity</x:v>
      </x:c>
      <x:c r="B18" s="25" t="str">
        <x:v>Accelerated-ramp sensitivity</x:v>
      </x:c>
      <x:c r="C18" s="25" t="str">
        <x:v>Accelerated-ramp sensitivity</x:v>
      </x:c>
      <x:c r="D18" s="25" t="str">
        <x:v>Accelerated-ramp sensitivity</x:v>
      </x:c>
      <x:c r="E18" s="25" t="str">
        <x:v>Accelerated-ramp sensitivity</x:v>
      </x:c>
      <x:c r="F18" s="25" t="str">
        <x:v>Accelerated-ramp sensitivity</x:v>
      </x:c>
    </x:row>
    <x:row r="19">
      <x:c r="A19" s="11" t="str">
        <x:v>Exposure Year 1</x:v>
      </x:c>
      <x:c r="B19" s="11" t="str">
        <x:v>Exposure Year 2</x:v>
      </x:c>
      <x:c r="C19" s="11" t="str">
        <x:v>Exposure Year 3</x:v>
      </x:c>
      <x:c r="D19" s="11" t="str">
        <x:v>NPV ($m)</x:v>
      </x:c>
      <x:c r="E19" s="11" t="str">
        <x:v>BCR</x:v>
      </x:c>
      <x:c r="F19" s="11" t="str">
        <x:v>ROI</x:v>
      </x:c>
    </x:row>
    <x:row r="20">
      <x:c r="A20" s="49" t="n">
        <x:v>0.5</x:v>
      </x:c>
      <x:c r="B20" s="49" t="n">
        <x:v>1</x:v>
      </x:c>
      <x:c r="C20" s="49" t="n">
        <x:v>1</x:v>
      </x:c>
      <x:c r="D20" s="51" t="n">
        <x:f>-'Assumptions'!$B$13+($I$14*A20-'Assumptions'!$B$14)/(1+'Assumptions'!$B$15)+($I$14*B20-'Assumptions'!$B$14)/(1+'Assumptions'!$B$15)^2+($I$14*C20-'Assumptions'!$B$14)/(1+'Assumptions'!$B$15)^3</x:f>
        <x:v>0.12736084002032877</x:v>
      </x:c>
      <x:c r="E20" s="57" t="n">
        <x:f>($I$14*A20/(1+'Assumptions'!$B$15)+$I$14*B20/(1+'Assumptions'!$B$15)^2+$I$14*C20/(1+'Assumptions'!$B$15)^3)/('Assumptions'!$B$13+'Assumptions'!$B$14/(1+'Assumptions'!$B$15)+'Assumptions'!$B$14/(1+'Assumptions'!$B$15)^2+'Assumptions'!$B$14/(1+'Assumptions'!$B$15)^3)</x:f>
        <x:v>1.0346549449159337</x:v>
      </x:c>
      <x:c r="F20" s="52" t="n">
        <x:f>(($I$14*(A20+B20+C20))-'Assumptions'!$B$13-3*'Assumptions'!$B$14)/('Assumptions'!$B$13+3*'Assumptions'!$B$14)</x:f>
        <x:v>0.13835216283629673</x:v>
      </x:c>
    </x:row>
  </x:sheetData>
  <x:mergeCells>
    <x:mergeCell ref="A1:N1"/>
    <x:mergeCell ref="A2:N2"/>
    <x:mergeCell ref="A4:N4"/>
    <x:mergeCell ref="A11:N11"/>
    <x:mergeCell ref="A18:F18"/>
  </x:mergeCells>
  <x:pageMargins left="0.7" right="0.7" top="0.75" bottom="0.75" header="0.3" footer="0.3"/>
  <x:drawing xmlns:r="http://schemas.openxmlformats.org/officeDocument/2006/relationships" r:id="Rd67ef7f0e445480b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5" hidden="0" customWidth="1"/>
    <x:col min="11" max="11" width="13" hidden="0" customWidth="1"/>
    <x:col min="12" max="12" width="10" hidden="0" customWidth="1"/>
    <x:col min="13" max="13" width="34" hidden="0" customWidth="1"/>
    <x:col min="14" max="14" width="28" hidden="0" customWidth="1"/>
    <x:col min="16" max="16" width="18" hidden="0" customWidth="1"/>
    <x:col min="17" max="17" width="16" hidden="0" customWidth="1"/>
    <x:col min="18" max="18" width="14" hidden="0" customWidth="1"/>
  </x:cols>
  <x:sheetData>
    <x:row r="1" ht="34" customHeight="1">
      <x:c r="A1" s="3" t="str">
        <x:v>Impact–Value Matrix</x:v>
      </x:c>
      <x:c r="B1" s="3" t="str">
        <x:v>Impact–Value Matrix</x:v>
      </x:c>
      <x:c r="C1" s="3" t="str">
        <x:v>Impact–Value Matrix</x:v>
      </x:c>
      <x:c r="D1" s="3" t="str">
        <x:v>Impact–Value Matrix</x:v>
      </x:c>
      <x:c r="E1" s="3" t="str">
        <x:v>Impact–Value Matrix</x:v>
      </x:c>
      <x:c r="F1" s="3" t="str">
        <x:v>Impact–Value Matrix</x:v>
      </x:c>
      <x:c r="G1" s="3" t="str">
        <x:v>Impact–Value Matrix</x:v>
      </x:c>
      <x:c r="H1" s="3" t="str">
        <x:v>Impact–Value Matrix</x:v>
      </x:c>
      <x:c r="I1" s="3" t="str">
        <x:v>Impact–Value Matrix</x:v>
      </x:c>
      <x:c r="J1" s="3" t="str">
        <x:v>Impact–Value Matrix</x:v>
      </x:c>
      <x:c r="K1" s="3" t="str">
        <x:v>Impact–Value Matrix</x:v>
      </x:c>
      <x:c r="L1" s="3" t="str">
        <x:v>Impact–Value Matrix</x:v>
      </x:c>
      <x:c r="M1" s="3" t="str">
        <x:v>Impact–Value Matrix</x:v>
      </x:c>
      <x:c r="N1" s="3" t="str">
        <x:v>Impact–Value Matrix</x:v>
      </x:c>
    </x:row>
    <x:row r="2" ht="28" customHeight="1">
      <x:c r="A2" s="6" t="str">
        <x:v>Illustrative pre-workshop seed scores for client validation; not Spark-agreed ratings. Component ratings update the scores; costs are not additive.</x:v>
      </x:c>
      <x:c r="B2" s="6" t="str">
        <x:v>All scores are consulting assumptions for a decision workshop. Scores update from component ratings; costs are not additive budget lines.</x:v>
      </x:c>
      <x:c r="C2" s="6" t="str">
        <x:v>All scores are consulting assumptions for a decision workshop. Scores update from component ratings; costs are not additive budget lines.</x:v>
      </x:c>
      <x:c r="D2" s="6" t="str">
        <x:v>All scores are consulting assumptions for a decision workshop. Scores update from component ratings; costs are not additive budget lines.</x:v>
      </x:c>
      <x:c r="E2" s="6" t="str">
        <x:v>All scores are consulting assumptions for a decision workshop. Scores update from component ratings; costs are not additive budget lines.</x:v>
      </x:c>
      <x:c r="F2" s="6" t="str">
        <x:v>All scores are consulting assumptions for a decision workshop. Scores update from component ratings; costs are not additive budget lines.</x:v>
      </x:c>
      <x:c r="G2" s="6" t="str">
        <x:v>All scores are consulting assumptions for a decision workshop. Scores update from component ratings; costs are not additive budget lines.</x:v>
      </x:c>
      <x:c r="H2" s="6" t="str">
        <x:v>All scores are consulting assumptions for a decision workshop. Scores update from component ratings; costs are not additive budget lines.</x:v>
      </x:c>
      <x:c r="I2" s="6" t="str">
        <x:v>All scores are consulting assumptions for a decision workshop. Scores update from component ratings; costs are not additive budget lines.</x:v>
      </x:c>
      <x:c r="J2" s="6" t="str">
        <x:v>All scores are consulting assumptions for a decision workshop. Scores update from component ratings; costs are not additive budget lines.</x:v>
      </x:c>
      <x:c r="K2" s="6" t="str">
        <x:v>All scores are consulting assumptions for a decision workshop. Scores update from component ratings; costs are not additive budget lines.</x:v>
      </x:c>
      <x:c r="L2" s="6" t="str">
        <x:v>All scores are consulting assumptions for a decision workshop. Scores update from component ratings; costs are not additive budget lines.</x:v>
      </x:c>
      <x:c r="M2" s="6" t="str">
        <x:v>All scores are consulting assumptions for a decision workshop. Scores update from component ratings; costs are not additive budget lines.</x:v>
      </x:c>
      <x:c r="N2" s="6" t="str">
        <x:v>All scores are consulting assumptions for a decision workshop. Scores update from component ratings; costs are not additive budget lines.</x:v>
      </x:c>
    </x:row>
    <x:row r="4">
      <x:c r="A4" s="11" t="str">
        <x:v>Initiative</x:v>
      </x:c>
      <x:c r="B4" s="11" t="str">
        <x:v>Strategic</x:v>
      </x:c>
      <x:c r="C4" s="11" t="str">
        <x:v>Customer</x:v>
      </x:c>
      <x:c r="D4" s="11" t="str">
        <x:v>Financial</x:v>
      </x:c>
      <x:c r="E4" s="11" t="str">
        <x:v>Client value</x:v>
      </x:c>
      <x:c r="F4" s="11" t="str">
        <x:v>Process</x:v>
      </x:c>
      <x:c r="G4" s="11" t="str">
        <x:v>People</x:v>
      </x:c>
      <x:c r="H4" s="11" t="str">
        <x:v>Data</x:v>
      </x:c>
      <x:c r="I4" s="11" t="str">
        <x:v>Technology</x:v>
      </x:c>
      <x:c r="J4" s="11" t="str">
        <x:v>Change impact</x:v>
      </x:c>
      <x:c r="K4" s="11" t="str">
        <x:v>Cost ($m)</x:v>
      </x:c>
      <x:c r="L4" s="11" t="str">
        <x:v>Evidence</x:v>
      </x:c>
      <x:c r="M4" s="11" t="str">
        <x:v>Decision</x:v>
      </x:c>
      <x:c r="N4" s="11" t="str">
        <x:v>Quadrant</x:v>
      </x:c>
      <x:c r="P4" t="str">
        <x:v>Initiative</x:v>
      </x:c>
      <x:c r="Q4" t="str">
        <x:v>Change impact</x:v>
      </x:c>
      <x:c r="R4" t="str">
        <x:v>Client value</x:v>
      </x:c>
      <x:c r="S4" t="str">
        <x:v>Cost (NZ$m)</x:v>
      </x:c>
    </x:row>
    <x:row r="5">
      <x:c r="A5" s="15" t="str">
        <x:v>Event instrumentation and complete-assignment KPI loop</x:v>
      </x:c>
      <x:c r="B5" s="17" t="n">
        <x:v>4</x:v>
      </x:c>
      <x:c r="C5" s="17" t="n">
        <x:v>3.5</x:v>
      </x:c>
      <x:c r="D5" s="17" t="n">
        <x:v>3</x:v>
      </x:c>
      <x:c r="E5" s="84" t="n">
        <x:f>B5*40%+C5*30%+D5*30%</x:f>
        <x:v>3.5500000000000003</x:v>
      </x:c>
      <x:c r="F5" s="17" t="n">
        <x:v>3</x:v>
      </x:c>
      <x:c r="G5" s="17" t="n">
        <x:v>2.5</x:v>
      </x:c>
      <x:c r="H5" s="17" t="n">
        <x:v>4.5</x:v>
      </x:c>
      <x:c r="I5" s="17" t="n">
        <x:v>3</x:v>
      </x:c>
      <x:c r="J5" s="84" t="n">
        <x:f>AVERAGE(F5:I5)</x:f>
        <x:v>3.25</x:v>
      </x:c>
      <x:c r="K5" s="55" t="n">
        <x:v>0.45</x:v>
      </x:c>
      <x:c r="L5" s="17" t="str">
        <x:v>C</x:v>
      </x:c>
      <x:c r="M5" s="15" t="str">
        <x:v>Do first; prerequisite</x:v>
      </x:c>
      <x:c r="N5" s="31" t="str">
        <x:f>IF(AND(E5&gt;='Assumptions'!$B$19,J5&gt;='Assumptions'!$B$19),"High value / high impact",IF(E5&gt;='Assumptions'!$B$19,"High value / lower impact",IF(J5&gt;='Assumptions'!$B$19,"Lower value / high impact","Lower value / lower impact")))</x:f>
        <x:v>High value / lower impact</x:v>
      </x:c>
      <x:c r="P5" t="str">
        <x:v>Instrumentation</x:v>
      </x:c>
      <x:c r="Q5" t="n">
        <x:f>J5</x:f>
        <x:v>3.25</x:v>
      </x:c>
      <x:c r="R5" t="n">
        <x:f>E5</x:f>
        <x:v>3.5500000000000003</x:v>
      </x:c>
      <x:c r="S5" t="n">
        <x:f>K5</x:f>
        <x:v>0.45</x:v>
      </x:c>
    </x:row>
    <x:row r="6">
      <x:c r="A6" s="15" t="str">
        <x:v>PlanFit Navigator Core</x:v>
      </x:c>
      <x:c r="B6" s="17" t="n">
        <x:v>4.5</x:v>
      </x:c>
      <x:c r="C6" s="17" t="n">
        <x:v>4.5</x:v>
      </x:c>
      <x:c r="D6" s="17" t="n">
        <x:v>2</x:v>
      </x:c>
      <x:c r="E6" s="84" t="n">
        <x:f>B6*40%+C6*30%+D6*30%</x:f>
        <x:v>3.75</x:v>
      </x:c>
      <x:c r="F6" s="17" t="n">
        <x:v>4</x:v>
      </x:c>
      <x:c r="G6" s="17" t="n">
        <x:v>3.5</x:v>
      </x:c>
      <x:c r="H6" s="17" t="n">
        <x:v>4.5</x:v>
      </x:c>
      <x:c r="I6" s="17" t="n">
        <x:v>4</x:v>
      </x:c>
      <x:c r="J6" s="84" t="n">
        <x:f>AVERAGE(F6:I6)</x:f>
        <x:v>4</x:v>
      </x:c>
      <x:c r="K6" s="55" t="n">
        <x:v>2</x:v>
      </x:c>
      <x:c r="L6" s="17" t="str">
        <x:v>C</x:v>
      </x:c>
      <x:c r="M6" s="15" t="str">
        <x:v>Potentially high non-financial value; pilot only after concept/M2 gates</x:v>
      </x:c>
      <x:c r="N6" s="31" t="str">
        <x:f>IF(AND(E6&gt;='Assumptions'!$B$19,J6&gt;='Assumptions'!$B$19),"High value / high impact",IF(E6&gt;='Assumptions'!$B$19,"High value / lower impact",IF(J6&gt;='Assumptions'!$B$19,"Lower value / high impact","Lower value / lower impact")))</x:f>
        <x:v>High value / high impact</x:v>
      </x:c>
      <x:c r="P6" t="str">
        <x:v>PlanFit Core</x:v>
      </x:c>
      <x:c r="Q6" t="n">
        <x:f>J6</x:f>
        <x:v>4</x:v>
      </x:c>
      <x:c r="R6" t="n">
        <x:f>E6</x:f>
        <x:v>3.75</x:v>
      </x:c>
      <x:c r="S6" t="n">
        <x:f>K6</x:f>
        <x:v>2</x:v>
      </x:c>
    </x:row>
    <x:row r="7">
      <x:c r="A7" s="15" t="str">
        <x:v>H5 broader continuity</x:v>
      </x:c>
      <x:c r="B7" s="17" t="n">
        <x:v>4</x:v>
      </x:c>
      <x:c r="C7" s="17" t="n">
        <x:v>4</x:v>
      </x:c>
      <x:c r="D7" s="17" t="n">
        <x:v>1.5</x:v>
      </x:c>
      <x:c r="E7" s="84" t="n">
        <x:f>B7*40%+C7*30%+D7*30%</x:f>
        <x:v>3.25</x:v>
      </x:c>
      <x:c r="F7" s="17" t="n">
        <x:v>5</x:v>
      </x:c>
      <x:c r="G7" s="17" t="n">
        <x:v>4.5</x:v>
      </x:c>
      <x:c r="H7" s="17" t="n">
        <x:v>5</x:v>
      </x:c>
      <x:c r="I7" s="17" t="n">
        <x:v>4.5</x:v>
      </x:c>
      <x:c r="J7" s="84" t="n">
        <x:f>AVERAGE(F7:I7)</x:f>
        <x:v>4.75</x:v>
      </x:c>
      <x:c r="K7" s="55" t="n">
        <x:v>1.2</x:v>
      </x:c>
      <x:c r="L7" s="17" t="str">
        <x:v>D</x:v>
      </x:c>
      <x:c r="M7" s="15" t="str">
        <x:v>Separate case</x:v>
      </x:c>
      <x:c r="N7" s="31" t="str">
        <x:f>IF(AND(E7&gt;='Assumptions'!$B$19,J7&gt;='Assumptions'!$B$19),"High value / high impact",IF(E7&gt;='Assumptions'!$B$19,"High value / lower impact",IF(J7&gt;='Assumptions'!$B$19,"Lower value / high impact","Lower value / lower impact")))</x:f>
        <x:v>Lower value / high impact</x:v>
      </x:c>
      <x:c r="P7" t="str">
        <x:v>H5 continuity</x:v>
      </x:c>
      <x:c r="Q7" t="n">
        <x:f>J7</x:f>
        <x:v>4.75</x:v>
      </x:c>
      <x:c r="R7" t="n">
        <x:f>E7</x:f>
        <x:v>3.25</x:v>
      </x:c>
      <x:c r="S7" t="n">
        <x:f>K7</x:f>
        <x:v>1.2</x:v>
      </x:c>
    </x:row>
    <x:row r="8">
      <x:c r="A8" s="15" t="str">
        <x:v>H2 proactive timing</x:v>
      </x:c>
      <x:c r="B8" s="17" t="n">
        <x:v>4</x:v>
      </x:c>
      <x:c r="C8" s="17" t="n">
        <x:v>4</x:v>
      </x:c>
      <x:c r="D8" s="17" t="n">
        <x:v>2</x:v>
      </x:c>
      <x:c r="E8" s="84" t="n">
        <x:f>B8*40%+C8*30%+D8*30%</x:f>
        <x:v>3.4</x:v>
      </x:c>
      <x:c r="F8" s="17" t="n">
        <x:v>4</x:v>
      </x:c>
      <x:c r="G8" s="17" t="n">
        <x:v>3.5</x:v>
      </x:c>
      <x:c r="H8" s="17" t="n">
        <x:v>4.5</x:v>
      </x:c>
      <x:c r="I8" s="17" t="n">
        <x:v>4</x:v>
      </x:c>
      <x:c r="J8" s="84" t="n">
        <x:f>AVERAGE(F8:I8)</x:f>
        <x:v>4</x:v>
      </x:c>
      <x:c r="K8" s="55" t="n">
        <x:v>0.9</x:v>
      </x:c>
      <x:c r="L8" s="17" t="str">
        <x:v>D</x:v>
      </x:c>
      <x:c r="M8" s="15" t="str">
        <x:v>Separate causal/privacy gate</x:v>
      </x:c>
      <x:c r="N8" s="31" t="str">
        <x:f>IF(AND(E8&gt;='Assumptions'!$B$19,J8&gt;='Assumptions'!$B$19),"High value / high impact",IF(E8&gt;='Assumptions'!$B$19,"High value / lower impact",IF(J8&gt;='Assumptions'!$B$19,"Lower value / high impact","Lower value / lower impact")))</x:f>
        <x:v>Lower value / high impact</x:v>
      </x:c>
      <x:c r="P8" t="str">
        <x:v>H2 timing</x:v>
      </x:c>
      <x:c r="Q8" t="n">
        <x:f>J8</x:f>
        <x:v>4</x:v>
      </x:c>
      <x:c r="R8" t="n">
        <x:f>E8</x:f>
        <x:v>3.4</x:v>
      </x:c>
      <x:c r="S8" t="n">
        <x:f>K8</x:f>
        <x:v>0.9</x:v>
      </x:c>
    </x:row>
    <x:row r="9">
      <x:c r="A9" s="15" t="str">
        <x:v>H4 loyalty/value</x:v>
      </x:c>
      <x:c r="B9" s="17" t="n">
        <x:v>3.5</x:v>
      </x:c>
      <x:c r="C9" s="17" t="n">
        <x:v>3.5</x:v>
      </x:c>
      <x:c r="D9" s="17" t="n">
        <x:v>2</x:v>
      </x:c>
      <x:c r="E9" s="84" t="n">
        <x:f>B9*40%+C9*30%+D9*30%</x:f>
        <x:v>3.0500000000000003</x:v>
      </x:c>
      <x:c r="F9" s="17" t="n">
        <x:v>4</x:v>
      </x:c>
      <x:c r="G9" s="17" t="n">
        <x:v>4.5</x:v>
      </x:c>
      <x:c r="H9" s="17" t="n">
        <x:v>3.5</x:v>
      </x:c>
      <x:c r="I9" s="17" t="n">
        <x:v>4</x:v>
      </x:c>
      <x:c r="J9" s="84" t="n">
        <x:f>AVERAGE(F9:I9)</x:f>
        <x:v>4</x:v>
      </x:c>
      <x:c r="K9" s="55" t="n">
        <x:v>1.4</x:v>
      </x:c>
      <x:c r="L9" s="17" t="str">
        <x:v>D</x:v>
      </x:c>
      <x:c r="M9" s="15" t="str">
        <x:v>Separate margin/fairness gate</x:v>
      </x:c>
      <x:c r="N9" s="31" t="str">
        <x:f>IF(AND(E9&gt;='Assumptions'!$B$19,J9&gt;='Assumptions'!$B$19),"High value / high impact",IF(E9&gt;='Assumptions'!$B$19,"High value / lower impact",IF(J9&gt;='Assumptions'!$B$19,"Lower value / high impact","Lower value / lower impact")))</x:f>
        <x:v>Lower value / high impact</x:v>
      </x:c>
      <x:c r="P9" t="str">
        <x:v>H4 loyalty</x:v>
      </x:c>
      <x:c r="Q9" t="n">
        <x:f>J9</x:f>
        <x:v>4</x:v>
      </x:c>
      <x:c r="R9" t="n">
        <x:f>E9</x:f>
        <x:v>3.0500000000000003</x:v>
      </x:c>
      <x:c r="S9" t="n">
        <x:f>K9</x:f>
        <x:v>1.4</x:v>
      </x:c>
    </x:row>
    <x:row r="10">
      <x:c r="A10" s="15" t="str">
        <x:v>Autonomous AI retention agent</x:v>
      </x:c>
      <x:c r="B10" s="17" t="n">
        <x:v>3.5</x:v>
      </x:c>
      <x:c r="C10" s="17" t="n">
        <x:v>3</x:v>
      </x:c>
      <x:c r="D10" s="17" t="n">
        <x:v>1</x:v>
      </x:c>
      <x:c r="E10" s="84" t="n">
        <x:f>B10*40%+C10*30%+D10*30%</x:f>
        <x:v>2.5999999999999996</x:v>
      </x:c>
      <x:c r="F10" s="17" t="n">
        <x:v>5</x:v>
      </x:c>
      <x:c r="G10" s="17" t="n">
        <x:v>5</x:v>
      </x:c>
      <x:c r="H10" s="17" t="n">
        <x:v>5</x:v>
      </x:c>
      <x:c r="I10" s="17" t="n">
        <x:v>5</x:v>
      </x:c>
      <x:c r="J10" s="84" t="n">
        <x:f>AVERAGE(F10:I10)</x:f>
        <x:v>5</x:v>
      </x:c>
      <x:c r="K10" s="55" t="n">
        <x:v>4</x:v>
      </x:c>
      <x:c r="L10" s="17" t="str">
        <x:v>D</x:v>
      </x:c>
      <x:c r="M10" s="15" t="str">
        <x:v>Defer</x:v>
      </x:c>
      <x:c r="N10" s="31" t="str">
        <x:f>IF(AND(E10&gt;='Assumptions'!$B$19,J10&gt;='Assumptions'!$B$19),"High value / high impact",IF(E10&gt;='Assumptions'!$B$19,"High value / lower impact",IF(J10&gt;='Assumptions'!$B$19,"Lower value / high impact","Lower value / lower impact")))</x:f>
        <x:v>Lower value / high impact</x:v>
      </x:c>
      <x:c r="P10" t="str">
        <x:v>AI agent</x:v>
      </x:c>
      <x:c r="Q10" t="n">
        <x:f>J10</x:f>
        <x:v>5</x:v>
      </x:c>
      <x:c r="R10" t="n">
        <x:f>E10</x:f>
        <x:v>2.5999999999999996</x:v>
      </x:c>
      <x:c r="S10" t="n">
        <x:f>K10</x:f>
        <x:v>4</x:v>
      </x:c>
    </x:row>
    <x:row r="11">
      <x:c r="A11" s="15" t="str">
        <x:v>Static wording only</x:v>
      </x:c>
      <x:c r="B11" s="17" t="n">
        <x:v>2</x:v>
      </x:c>
      <x:c r="C11" s="17" t="n">
        <x:v>2.5</x:v>
      </x:c>
      <x:c r="D11" s="17" t="n">
        <x:v>1.5</x:v>
      </x:c>
      <x:c r="E11" s="84" t="n">
        <x:f>B11*40%+C11*30%+D11*30%</x:f>
        <x:v>2</x:v>
      </x:c>
      <x:c r="F11" s="17" t="n">
        <x:v>1.5</x:v>
      </x:c>
      <x:c r="G11" s="17" t="n">
        <x:v>1.5</x:v>
      </x:c>
      <x:c r="H11" s="17" t="n">
        <x:v>1</x:v>
      </x:c>
      <x:c r="I11" s="17" t="n">
        <x:v>2</x:v>
      </x:c>
      <x:c r="J11" s="84" t="n">
        <x:f>AVERAGE(F11:I11)</x:f>
        <x:v>1.5</x:v>
      </x:c>
      <x:c r="K11" s="55" t="n">
        <x:v>0.15</x:v>
      </x:c>
      <x:c r="L11" s="17" t="str">
        <x:v>C</x:v>
      </x:c>
      <x:c r="M11" s="15" t="str">
        <x:v>Comparator / quick hygiene</x:v>
      </x:c>
      <x:c r="N11" s="31" t="str">
        <x:f>IF(AND(E11&gt;='Assumptions'!$B$19,J11&gt;='Assumptions'!$B$19),"High value / high impact",IF(E11&gt;='Assumptions'!$B$19,"High value / lower impact",IF(J11&gt;='Assumptions'!$B$19,"Lower value / high impact","Lower value / lower impact")))</x:f>
        <x:v>Lower value / lower impact</x:v>
      </x:c>
      <x:c r="P11" t="str">
        <x:v>Static wording</x:v>
      </x:c>
      <x:c r="Q11" t="n">
        <x:f>J11</x:f>
        <x:v>1.5</x:v>
      </x:c>
      <x:c r="R11" t="n">
        <x:f>E11</x:f>
        <x:v>2</x:v>
      </x:c>
      <x:c r="S11" t="n">
        <x:f>K11</x:f>
        <x:v>0.15</x:v>
      </x:c>
    </x:row>
    <x:row r="13" ht="34" customHeight="1">
      <x:c r="A13" t="str">
        <x:v>Bubble chart</x:v>
      </x:c>
      <x:c r="B13" s="67" t="str">
        <x:v>X = change impact; Y = client value; bubble area = indicative cost (NZ$m). Overlapping initiative costs are not additive.</x:v>
      </x:c>
      <x:c r="C13" s="67"/>
      <x:c r="D13" s="67"/>
      <x:c r="E13" s="67"/>
      <x:c r="F13" s="67"/>
      <x:c r="G13" s="67"/>
      <x:c r="H13" s="67"/>
      <x:c r="I13" s="67"/>
      <x:c r="J13" s="67"/>
    </x:row>
    <x:row r="36" ht="32" customHeight="1">
      <x:c r="A36" s="67" t="str">
        <x:v>Quadrants</x:v>
      </x:c>
      <x:c r="B36" s="67" t="str">
        <x:v>High value / impact = score at least 3.5. The per-initiative Quadrant column is formula-linked to the editable threshold.</x:v>
      </x:c>
      <x:c r="C36" s="67"/>
      <x:c r="D36" s="67"/>
      <x:c r="E36" s="67"/>
      <x:c r="F36" s="67"/>
      <x:c r="G36" s="67"/>
      <x:c r="H36" s="67"/>
      <x:c r="I36" s="67"/>
      <x:c r="J36" s="67"/>
    </x:row>
    <x:row r="37" ht="32" customHeight="1">
      <x:c r="A37" s="67" t="str">
        <x:v>Evidence grades</x:v>
      </x:c>
      <x:c r="B37" s="67" t="str">
        <x:v>A = validated Spark internal; B = verified external or replicated test; C = bounded inference/calculation with unvalidated inputs; D = exploratory assumption.</x:v>
      </x:c>
      <x:c r="C37" s="67"/>
      <x:c r="D37" s="67"/>
      <x:c r="E37" s="67"/>
      <x:c r="F37" s="67"/>
      <x:c r="G37" s="67"/>
      <x:c r="H37" s="67"/>
      <x:c r="I37" s="67"/>
      <x:c r="J37" s="67"/>
    </x:row>
    <x:row r="38" ht="32" customHeight="1">
      <x:c r="A38" s="67" t="str">
        <x:v>Cost encoding</x:v>
      </x:c>
      <x:c r="B38" s="67" t="str">
        <x:v>Bubble area represents cost; axis scores remain 1-5. Space beyond 5 is only a plotting margin. Seven colours identify the initiatives in the legend.</x:v>
      </x:c>
      <x:c r="C38" s="67"/>
      <x:c r="D38" s="67"/>
      <x:c r="E38" s="67"/>
      <x:c r="F38" s="67"/>
      <x:c r="G38" s="67"/>
      <x:c r="H38" s="67"/>
      <x:c r="I38" s="67"/>
      <x:c r="J38" s="67"/>
    </x:row>
  </x:sheetData>
  <x:mergeCells>
    <x:mergeCell ref="A1:N1"/>
    <x:mergeCell ref="A2:N2"/>
    <x:mergeCell ref="B13:J13"/>
    <x:mergeCell ref="B36:J36"/>
    <x:mergeCell ref="B37:J37"/>
    <x:mergeCell ref="B38:J38"/>
  </x:mergeCells>
  <x:dataValidations count="2">
    <x:dataValidation type="decimal" operator="between" sqref="B5:D11">
      <x:formula1>1</x:formula1>
      <x:formula2>5</x:formula2>
    </x:dataValidation>
    <x:dataValidation type="decimal" operator="between" sqref="F5:I11">
      <x:formula1>1</x:formula1>
      <x:formula2>5</x:formula2>
    </x:dataValidation>
  </x:dataValidations>
  <x:pageMargins left="0.7" right="0.7" top="0.75" bottom="0.75" header="0.3" footer="0.3"/>
  <x:drawing xmlns:r="http://schemas.openxmlformats.org/officeDocument/2006/relationships" r:id="Rd0daccf79ee14a87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22" hidden="0" customWidth="1"/>
    <x:col min="4" max="4" width="32" hidden="0" customWidth="1"/>
    <x:col min="5" max="5" width="23" hidden="0" customWidth="1"/>
    <x:col min="6" max="6" width="70" hidden="0" customWidth="1"/>
    <x:col min="7" max="7" width="24" hidden="0" customWidth="1"/>
    <x:col min="8" max="8" width="46" hidden="0" customWidth="1"/>
  </x:cols>
  <x:sheetData>
    <x:row r="1" ht="34" customHeight="1">
      <x:c r="A1" s="3" t="str">
        <x:v>Checks and sources</x:v>
      </x:c>
      <x:c r="B1" s="3" t="str">
        <x:v>Checks and sources</x:v>
      </x:c>
      <x:c r="C1" s="3" t="str">
        <x:v>Checks and sources</x:v>
      </x:c>
      <x:c r="D1" s="3" t="str">
        <x:v>Checks and sources</x:v>
      </x:c>
      <x:c r="E1" s="3" t="str">
        <x:v>Checks and sources</x:v>
      </x:c>
      <x:c r="F1" s="3" t="str">
        <x:v>Checks and sources</x:v>
      </x:c>
      <x:c r="G1" s="3" t="str">
        <x:v>Checks and sources</x:v>
      </x:c>
      <x:c r="H1" s="3" t="str">
        <x:v>Checks and sources</x:v>
      </x:c>
    </x:row>
    <x:row r="2" ht="28" customHeight="1">
      <x:c r="A2" s="6" t="str">
        <x:v>Snapshot comparisons are against the published base assumptions; changing inputs may correctly produce REVIEW. Live reconciliation controls below test model identities.</x:v>
      </x:c>
      <x:c r="B2" s="6" t="str">
        <x:v>Snapshot comparisons are against the published base assumptions; changing inputs may correctly produce REVIEW. Live reconciliation controls below test model identities.</x:v>
      </x:c>
      <x:c r="C2" s="6" t="str">
        <x:v>Snapshot comparisons are against the published base assumptions; changing inputs may correctly produce REVIEW. Live reconciliation controls below test model identities.</x:v>
      </x:c>
      <x:c r="D2" s="6" t="str">
        <x:v>Snapshot comparisons are against the published base assumptions; changing inputs may correctly produce REVIEW. Live reconciliation controls below test model identities.</x:v>
      </x:c>
      <x:c r="E2" s="6" t="str">
        <x:v>Snapshot comparisons are against the published base assumptions; changing inputs may correctly produce REVIEW. Live reconciliation controls below test model identities.</x:v>
      </x:c>
      <x:c r="F2" s="6" t="str">
        <x:v>Snapshot comparisons are against the published base assumptions; changing inputs may correctly produce REVIEW. Live reconciliation controls below test model identities.</x:v>
      </x:c>
      <x:c r="G2" s="6" t="str">
        <x:v>Snapshot comparisons are against the published base assumptions; changing inputs may correctly produce REVIEW. Live reconciliation controls below test model identities.</x:v>
      </x:c>
      <x:c r="H2" s="6" t="str">
        <x:v>Snapshot comparisons are against the published base assumptions; changing inputs may correctly produce REVIEW. Live reconciliation controls below test model identities.</x:v>
      </x:c>
    </x:row>
    <x:row r="4">
      <x:c r="A4" s="11" t="str">
        <x:v>Check</x:v>
      </x:c>
      <x:c r="B4" s="11" t="str">
        <x:v>Workbook result</x:v>
      </x:c>
      <x:c r="C4" s="11" t="str">
        <x:v>Expected</x:v>
      </x:c>
      <x:c r="D4" s="11" t="str">
        <x:v>Difference</x:v>
      </x:c>
      <x:c r="E4" s="11" t="str">
        <x:v>Status</x:v>
      </x:c>
    </x:row>
    <x:row r="5">
      <x:c r="A5" s="15" t="str">
        <x:v>Base saved connections</x:v>
      </x:c>
      <x:c r="B5" s="31" t="n">
        <x:f>'CBA Scenarios'!F14</x:f>
        <x:v>4500</x:v>
      </x:c>
      <x:c r="C5" s="15" t="n">
        <x:v>4500</x:v>
      </x:c>
      <x:c r="D5" s="56" t="n">
        <x:f>B5-C5</x:f>
        <x:v>0</x:v>
      </x:c>
      <x:c r="E5" s="85" t="str">
        <x:f>IF(ABS(D5)&lt;=0,"MATCH","REVIEW")</x:f>
        <x:v>MATCH</x:v>
      </x:c>
    </x:row>
    <x:row r="6">
      <x:c r="A6" s="15" t="str">
        <x:v>Base recurring benefit ($m)</x:v>
      </x:c>
      <x:c r="B6" s="57" t="n">
        <x:f>'CBA Scenarios'!I14</x:f>
        <x:v>1.798596417281349</x:v>
      </x:c>
      <x:c r="C6" s="56" t="n">
        <x:v>1.798596417281349</x:v>
      </x:c>
      <x:c r="D6" s="56" t="n">
        <x:f>B6-C6</x:f>
        <x:v>0</x:v>
      </x:c>
      <x:c r="E6" s="85" t="str">
        <x:f>IF(ABS(D6)&lt;=1e-8,"MATCH","REVIEW")</x:f>
        <x:v>MATCH</x:v>
      </x:c>
    </x:row>
    <x:row r="7">
      <x:c r="A7" s="15" t="str">
        <x:v>Base NPV ($m)</x:v>
      </x:c>
      <x:c r="B7" s="57" t="n">
        <x:f>'CBA Scenarios'!M14</x:f>
        <x:v>-1.1139544171054307</x:v>
      </x:c>
      <x:c r="C7" s="56" t="n">
        <x:v>-1.1139544171054307</x:v>
      </x:c>
      <x:c r="D7" s="56" t="n">
        <x:f>B7-C7</x:f>
        <x:v>0</x:v>
      </x:c>
      <x:c r="E7" s="85" t="str">
        <x:f>IF(ABS(D7)&lt;=1e-8,"MATCH","REVIEW")</x:f>
        <x:v>MATCH</x:v>
      </x:c>
    </x:row>
    <x:row r="8">
      <x:c r="A8" s="15" t="str">
        <x:v>Base ROI</x:v>
      </x:c>
      <x:c r="B8" s="57" t="n">
        <x:f>'CBA Scenarios'!N14</x:f>
        <x:v>-0.21453700764295533</x:v>
      </x:c>
      <x:c r="C8" s="56" t="n">
        <x:v>-0.21453700764295533</x:v>
      </x:c>
      <x:c r="D8" s="56" t="n">
        <x:f>B8-C8</x:f>
        <x:v>0</x:v>
      </x:c>
      <x:c r="E8" s="85" t="str">
        <x:f>IF(ABS(D8)&lt;=1e-8,"MATCH","REVIEW")</x:f>
        <x:v>MATCH</x:v>
      </x:c>
    </x:row>
    <x:row r="9">
      <x:c r="A9" s="15" t="str">
        <x:v>Accelerated NPV ($m)</x:v>
      </x:c>
      <x:c r="B9" s="57" t="n">
        <x:f>'CBA Scenarios'!D20</x:f>
        <x:v>0.12736084002032877</x:v>
      </x:c>
      <x:c r="C9" s="56" t="n">
        <x:v>0.12736084002032877</x:v>
      </x:c>
      <x:c r="D9" s="56" t="n">
        <x:f>B9-C9</x:f>
        <x:v>0</x:v>
      </x:c>
      <x:c r="E9" s="85" t="str">
        <x:f>IF(ABS(D9)&lt;=0.000001,"MATCH","REVIEW")</x:f>
        <x:v>MATCH</x:v>
      </x:c>
    </x:row>
    <x:row r="10">
      <x:c r="A10" s="15" t="str">
        <x:v>PlanFit value score</x:v>
      </x:c>
      <x:c r="B10" s="57" t="n">
        <x:f>'Impact Value'!E6</x:f>
        <x:v>3.75</x:v>
      </x:c>
      <x:c r="C10" s="56" t="n">
        <x:v>3.75</x:v>
      </x:c>
      <x:c r="D10" s="56" t="n">
        <x:f>B10-C10</x:f>
        <x:v>0</x:v>
      </x:c>
      <x:c r="E10" s="85" t="str">
        <x:f>IF(ABS(D10)&lt;=1e-8,"MATCH","REVIEW")</x:f>
        <x:v>MATCH</x:v>
      </x:c>
    </x:row>
    <x:row r="11">
      <x:c r="A11" s="15" t="str">
        <x:v>PlanFit impact score</x:v>
      </x:c>
      <x:c r="B11" s="57" t="n">
        <x:f>'Impact Value'!J6</x:f>
        <x:v>4</x:v>
      </x:c>
      <x:c r="C11" s="56" t="n">
        <x:v>4</x:v>
      </x:c>
      <x:c r="D11" s="56" t="n">
        <x:f>B11-C11</x:f>
        <x:v>0</x:v>
      </x:c>
      <x:c r="E11" s="85" t="str">
        <x:f>IF(ABS(D11)&lt;=1e-8,"MATCH","REVIEW")</x:f>
        <x:v>MATCH</x:v>
      </x:c>
    </x:row>
    <x:row r="14" ht="22" customHeight="1">
      <x:c r="A14" s="25" t="str">
        <x:v>Sources and limitations</x:v>
      </x:c>
      <x:c r="B14" s="25" t="str">
        <x:v>Sources and limitations</x:v>
      </x:c>
      <x:c r="C14" s="25" t="str">
        <x:v>Sources and limitations</x:v>
      </x:c>
      <x:c r="D14" s="25" t="str">
        <x:v>Sources and limitations</x:v>
      </x:c>
      <x:c r="E14" s="25" t="str">
        <x:v>Sources and limitations</x:v>
      </x:c>
      <x:c r="F14" s="25" t="str">
        <x:v>Sources and limitations</x:v>
      </x:c>
      <x:c r="G14" s="25" t="str">
        <x:v>Sources and limitations</x:v>
      </x:c>
      <x:c r="H14" s="25" t="str">
        <x:v>Sources and limitations</x:v>
      </x:c>
    </x:row>
    <x:row r="15">
      <x:c r="A15" s="11" t="str">
        <x:v>Item</x:v>
      </x:c>
      <x:c r="B15" s="11" t="str">
        <x:v>Period / as-of</x:v>
      </x:c>
      <x:c r="C15" s="11" t="str">
        <x:v>Source type</x:v>
      </x:c>
      <x:c r="D15" s="11" t="str">
        <x:v>Source name</x:v>
      </x:c>
      <x:c r="E15" s="11" t="str">
        <x:v>Reference</x:v>
      </x:c>
      <x:c r="F15" s="11" t="str">
        <x:v>URL</x:v>
      </x:c>
      <x:c r="G15" s="11" t="str">
        <x:v>Owner / validator</x:v>
      </x:c>
      <x:c r="H15" s="11" t="str">
        <x:v>Notes</x:v>
      </x:c>
    </x:row>
    <x:row r="16">
      <x:c r="A16" s="15" t="str">
        <x:v>Mobile service revenue and connection proxy</x:v>
      </x:c>
      <x:c r="B16" s="15" t="str">
        <x:v>FY25</x:v>
      </x:c>
      <x:c r="C16" s="15" t="str">
        <x:v>Official company report</x:v>
      </x:c>
      <x:c r="D16" s="15" t="str">
        <x:v>Spark FY25 Annual Report</x:v>
      </x:c>
      <x:c r="E16" s="15" t="str">
        <x:v>pp. 2–5</x:v>
      </x:c>
      <x:c r="F16" s="15" t="str">
        <x:v>https://www.spark.co.nz/content/dam/spark/documents/pdfs/governance/FY25_Annual_Report.pdf</x:v>
      </x:c>
      <x:c r="G16" s="15" t="str">
        <x:v>Spark Finance</x:v>
      </x:c>
      <x:c r="H16" s="15" t="str">
        <x:v>Proxy is not consumer ARPU or contribution margin</x:v>
      </x:c>
    </x:row>
    <x:row r="17">
      <x:c r="A17" s="15" t="str">
        <x:v>Current strategic context</x:v>
      </x:c>
      <x:c r="B17" s="15" t="str">
        <x:v>FY26</x:v>
      </x:c>
      <x:c r="C17" s="15" t="str">
        <x:v>Official company report</x:v>
      </x:c>
      <x:c r="D17" s="15" t="str">
        <x:v>Spark FY26 Annual Report</x:v>
      </x:c>
      <x:c r="E17" s="15" t="str">
        <x:v>Strategy and operating review</x:v>
      </x:c>
      <x:c r="F17" s="15" t="str">
        <x:v>https://investors.sparknz.co.nz/FormBuilder/_Resource/_module/gXbeer80tkeL4nEaF-kwFA/doc/FY26_Annual_Report.pdf</x:v>
      </x:c>
      <x:c r="G17" s="15" t="str">
        <x:v>Spark</x:v>
      </x:c>
      <x:c r="H17" s="15" t="str">
        <x:v>Used for current context, not internal PlanFit evidence</x:v>
      </x:c>
    </x:row>
    <x:row r="18">
      <x:c r="A18" s="15" t="str">
        <x:v>FY26 results context</x:v>
      </x:c>
      <x:c r="B18" s="15" t="str">
        <x:v>FY26</x:v>
      </x:c>
      <x:c r="C18" s="15" t="str">
        <x:v>Official company presentation</x:v>
      </x:c>
      <x:c r="D18" s="15" t="str">
        <x:v>Spark FY26 Results Presentation</x:v>
      </x:c>
      <x:c r="E18" s="15" t="str">
        <x:v>H2 FY26</x:v>
      </x:c>
      <x:c r="F18" s="15" t="str">
        <x:v>https://investors.sparknz.co.nz/FormBuilder/_Resource/_module/gXbeer80tkeL4nEaF-kwFA/doc/H2FY26_Results_Presentation.pdf</x:v>
      </x:c>
      <x:c r="G18" s="15" t="str">
        <x:v>Spark</x:v>
      </x:c>
      <x:c r="H18" s="15" t="str">
        <x:v>Public management presentation</x:v>
      </x:c>
    </x:row>
    <x:row r="19">
      <x:c r="A19" s="15" t="str">
        <x:v>Implementation plan, scenarios and matrix</x:v>
      </x:c>
      <x:c r="B19" s="15" t="str">
        <x:v>2026-09-05</x:v>
      </x:c>
      <x:c r="C19" s="15" t="str">
        <x:v>Assignment working content</x:v>
      </x:c>
      <x:c r="D19" s="15" t="str">
        <x:v>A2-D1 Submission Content Draft</x:v>
      </x:c>
      <x:c r="E19" s="15" t="str">
        <x:v>Sections 6 and 10</x:v>
      </x:c>
      <x:c r="F19" s="15" t="str"/>
      <x:c r="G19" s="15" t="str">
        <x:v>Francis / project team</x:v>
      </x:c>
      <x:c r="H19" s="15" t="str">
        <x:v>Consulting assumptions and illustrative pre-workshop scores require client validation</x:v>
      </x:c>
    </x:row>
    <x:row r="20">
      <x:c r="A20" s="15" t="str">
        <x:v>Assessment requirements</x:v>
      </x:c>
      <x:c r="B20" s="15" t="str">
        <x:v>2026</x:v>
      </x:c>
      <x:c r="C20" s="15" t="str">
        <x:v>Course specification</x:v>
      </x:c>
      <x:c r="D20" s="15" t="str">
        <x:v>A2-D1 Assessment Specification</x:v>
      </x:c>
      <x:c r="E20" s="15" t="str">
        <x:v>Requirements and marking criteria</x:v>
      </x:c>
      <x:c r="F20" s="15" t="str"/>
      <x:c r="G20" s="15" t="str">
        <x:v>INFOSYS 704 teaching team</x:v>
      </x:c>
      <x:c r="H20" s="15" t="str">
        <x:v>Workbook supports plan/value evidence; it is not the final submitted format</x:v>
      </x:c>
    </x:row>
    <x:row r="23" ht="22" customHeight="1">
      <x:c r="A23" s="25" t="str">
        <x:v>Live reconciliation controls</x:v>
      </x:c>
      <x:c r="B23" s="25" t="str">
        <x:v>Live reconciliation controls</x:v>
      </x:c>
      <x:c r="C23" s="25" t="str">
        <x:v>Live reconciliation controls</x:v>
      </x:c>
      <x:c r="D23" s="25" t="str">
        <x:v>Live reconciliation controls</x:v>
      </x:c>
      <x:c r="E23" s="25" t="str">
        <x:v>Live reconciliation controls</x:v>
      </x:c>
      <x:c r="F23" s="25" t="str">
        <x:v>Live reconciliation controls</x:v>
      </x:c>
      <x:c r="G23" s="25" t="str">
        <x:v>Live reconciliation controls</x:v>
      </x:c>
      <x:c r="H23" s="25" t="str">
        <x:v>Live reconciliation controls</x:v>
      </x:c>
    </x:row>
    <x:row r="24">
      <x:c r="A24" s="11" t="str">
        <x:v>Identity</x:v>
      </x:c>
      <x:c r="B24" s="11" t="str">
        <x:v>Difference</x:v>
      </x:c>
      <x:c r="C24" s="11" t="str">
        <x:v>Tolerance</x:v>
      </x:c>
    </x:row>
    <x:row r="25">
      <x:c r="A25" s="15" t="str">
        <x:v>Base scenario vs evidence-boundary benefit</x:v>
      </x:c>
      <x:c r="B25" s="86" t="n">
        <x:f>'CBA Scenarios'!I14-'CBA Scenarios'!G8</x:f>
        <x:v>0</x:v>
      </x:c>
      <x:c r="C25" s="87" t="n">
        <x:v>1e-9</x:v>
      </x:c>
    </x:row>
    <x:row r="26">
      <x:c r="A26" s="15" t="str">
        <x:v>Fees scheduled vs envelope</x:v>
      </x:c>
      <x:c r="B26" s="86" t="n">
        <x:f>'Phase Costs'!B16</x:f>
        <x:v>1.1102230246251565e-16</x:v>
      </x:c>
      <x:c r="C26" s="87" t="n">
        <x:v>1e-9</x:v>
      </x:c>
    </x:row>
    <x:row r="27">
      <x:c r="A27" s="15" t="str">
        <x:v>Capex + Opex vs envelope</x:v>
      </x:c>
      <x:c r="B27" s="86" t="n">
        <x:f>'Phase Costs'!B17</x:f>
        <x:v>0</x:v>
      </x:c>
      <x:c r="C27" s="87" t="n">
        <x:v>1e-9</x:v>
      </x:c>
    </x:row>
    <x:row r="28">
      <x:c r="A28" s="15" t="str">
        <x:v>Monthly implementation vs phases</x:v>
      </x:c>
      <x:c r="B28" s="86" t="n">
        <x:f>'Dated Cash Flow'!B48-'Dated Cash Flow'!C48</x:f>
        <x:v>0</x:v>
      </x:c>
      <x:c r="C28" s="87" t="n">
        <x:v>1e-9</x:v>
      </x:c>
    </x:row>
    <x:row r="29">
      <x:c r="A29" s="15" t="str">
        <x:v>Monthly run cost vs annual model</x:v>
      </x:c>
      <x:c r="B29" s="86" t="n">
        <x:f>'Dated Cash Flow'!B49-'Dated Cash Flow'!C49</x:f>
        <x:v>6.661338147750939e-16</x:v>
      </x:c>
      <x:c r="C29" s="87" t="n">
        <x:v>1e-9</x:v>
      </x:c>
    </x:row>
    <x:row r="30">
      <x:c r="A30" s="15" t="str">
        <x:v>Monthly benefits vs annual model</x:v>
      </x:c>
      <x:c r="B30" s="86" t="n">
        <x:f>'Dated Cash Flow'!B50-'Dated Cash Flow'!C50</x:f>
        <x:v>1.3322676295501878e-15</x:v>
      </x:c>
      <x:c r="C30" s="87" t="n">
        <x:v>1e-9</x:v>
      </x:c>
    </x:row>
    <x:row r="31">
      <x:c r="A31" s="15" t="str">
        <x:v>XNPV vs independent dated PV sum</x:v>
      </x:c>
      <x:c r="B31" s="86" t="n">
        <x:f>'Dated Cash Flow'!C43</x:f>
        <x:v>0</x:v>
      </x:c>
      <x:c r="C31" s="87" t="n">
        <x:v>1e-9</x:v>
      </x:c>
    </x:row>
    <x:row r="32">
      <x:c r="A32" s="15" t="str">
        <x:v>Cohort follow-up days before data cut</x:v>
      </x:c>
      <x:c r="B32" s="15" t="n">
        <x:f>'Gantt'!E36-'Gantt'!I19-90</x:f>
        <x:v>4</x:v>
      </x:c>
      <x:c r="C32" s="15"/>
      <x:c r="D32" t="str">
        <x:v>Nonnegative = full 90-day follow-up fits</x:v>
      </x:c>
    </x:row>
  </x:sheetData>
  <x:mergeCells>
    <x:mergeCell ref="A1:H1"/>
    <x:mergeCell ref="A2:H2"/>
    <x:mergeCell ref="A14:H14"/>
    <x:mergeCell ref="A23:H23"/>
  </x:mergeCells>
  <x:conditionalFormatting sqref="E5:E11">
    <x:cfRule type="containsText" dxfId="1" priority="1" operator="containsText" text="REVIEW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21" hidden="0" customWidth="1"/>
    <x:col min="5" max="5" width="27" hidden="0" customWidth="1"/>
    <x:col min="6" max="6" width="15" hidden="0" customWidth="1"/>
    <x:col min="7" max="7" width="23" hidden="0" customWidth="1"/>
    <x:col min="8" max="8" width="18" hidden="0" customWidth="1"/>
    <x:col min="9" max="9" width="19" hidden="0" customWidth="1"/>
  </x:cols>
  <x:sheetData>
    <x:row r="1" ht="34" customHeight="1">
      <x:c r="A1" s="3" t="str">
        <x:v>Phase costs and cash timing</x:v>
      </x:c>
      <x:c r="B1" s="3" t="str">
        <x:v>Phase costs and cash timing</x:v>
      </x:c>
      <x:c r="C1" s="3" t="str">
        <x:v>Phase costs and cash timing</x:v>
      </x:c>
      <x:c r="D1" s="3" t="str">
        <x:v>Phase costs and cash timing</x:v>
      </x:c>
      <x:c r="E1" s="3" t="str">
        <x:v>Phase costs and cash timing</x:v>
      </x:c>
      <x:c r="F1" s="3" t="str">
        <x:v>Phase costs and cash timing</x:v>
      </x:c>
      <x:c r="G1" s="3" t="str">
        <x:v>Phase costs and cash timing</x:v>
      </x:c>
      <x:c r="H1" s="3" t="str">
        <x:v>Phase costs and cash timing</x:v>
      </x:c>
      <x:c r="I1" s="3" t="str">
        <x:v>Phase costs and cash timing</x:v>
      </x:c>
    </x:row>
    <x:row r="2" ht="28" customHeight="1">
      <x:c r="A2" s="6" t="str">
        <x:v>NZ$m, excluding GST. Amounts from proposal section 12. Invoice dates and daily client-cost allocation are unvalidated consulting assumptions.</x:v>
      </x:c>
      <x:c r="B2" s="6" t="str">
        <x:v>NZ$m, excluding GST. Amounts from proposal section 12. Invoice dates and daily client-cost allocation are unvalidated consulting assumptions.</x:v>
      </x:c>
      <x:c r="C2" s="6" t="str">
        <x:v>NZ$m, excluding GST. Amounts from proposal section 12. Invoice dates and daily client-cost allocation are unvalidated consulting assumptions.</x:v>
      </x:c>
      <x:c r="D2" s="6" t="str">
        <x:v>NZ$m, excluding GST. Amounts from proposal section 12. Invoice dates and daily client-cost allocation are unvalidated consulting assumptions.</x:v>
      </x:c>
      <x:c r="E2" s="6" t="str">
        <x:v>NZ$m, excluding GST. Amounts from proposal section 12. Invoice dates and daily client-cost allocation are unvalidated consulting assumptions.</x:v>
      </x:c>
      <x:c r="F2" s="6" t="str">
        <x:v>NZ$m, excluding GST. Amounts from proposal section 12. Invoice dates and daily client-cost allocation are unvalidated consulting assumptions.</x:v>
      </x:c>
      <x:c r="G2" s="6" t="str">
        <x:v>NZ$m, excluding GST. Amounts from proposal section 12. Invoice dates and daily client-cost allocation are unvalidated consulting assumptions.</x:v>
      </x:c>
      <x:c r="H2" s="6" t="str">
        <x:v>NZ$m, excluding GST. Amounts from proposal section 12. Invoice dates and daily client-cost allocation are unvalidated consulting assumptions.</x:v>
      </x:c>
      <x:c r="I2" s="6" t="str">
        <x:v>NZ$m, excluding GST. Amounts from proposal section 12. Invoice dates and daily client-cost allocation are unvalidated consulting assumptions.</x:v>
      </x:c>
    </x:row>
    <x:row r="5">
      <x:c r="A5" s="11" t="str">
        <x:v>Phase</x:v>
      </x:c>
      <x:c r="B5" s="11" t="str">
        <x:v>Start</x:v>
      </x:c>
      <x:c r="C5" s="11" t="str">
        <x:v>End</x:v>
      </x:c>
      <x:c r="D5" s="11" t="str">
        <x:v>Consulting fee</x:v>
      </x:c>
      <x:c r="E5" s="11" t="str">
        <x:v>Client / third party</x:v>
      </x:c>
      <x:c r="F5" s="11" t="str">
        <x:v>Capex</x:v>
      </x:c>
      <x:c r="G5" s="11" t="str">
        <x:v>Implementation Opex</x:v>
      </x:c>
      <x:c r="H5" s="11" t="str">
        <x:v>Total</x:v>
      </x:c>
      <x:c r="I5" s="11" t="str">
        <x:v>Calendar days</x:v>
      </x:c>
    </x:row>
    <x:row r="6">
      <x:c r="A6" s="15" t="str">
        <x:v>0 Validate/govern</x:v>
      </x:c>
      <x:c r="B6" s="43" t="n">
        <x:v>46300</x:v>
      </x:c>
      <x:c r="C6" s="43" t="n">
        <x:v>46318</x:v>
      </x:c>
      <x:c r="D6" s="61" t="n">
        <x:v>0.05</x:v>
      </x:c>
      <x:c r="E6" s="61" t="n">
        <x:v>0.07</x:v>
      </x:c>
      <x:c r="F6" s="61" t="n">
        <x:v>0</x:v>
      </x:c>
      <x:c r="G6" s="59" t="n">
        <x:f>H6-F6</x:f>
        <x:v>0.12000000000000001</x:v>
      </x:c>
      <x:c r="H6" s="59" t="n">
        <x:f>D6+E6</x:f>
        <x:v>0.12000000000000001</x:v>
      </x:c>
      <x:c r="I6" s="15" t="n">
        <x:f>C6-B6+1</x:f>
        <x:v>19</x:v>
      </x:c>
    </x:row>
    <x:row r="7">
      <x:c r="A7" s="15" t="str">
        <x:v>1 Discover/instrument</x:v>
      </x:c>
      <x:c r="B7" s="43" t="n">
        <x:v>46321</x:v>
      </x:c>
      <x:c r="C7" s="43" t="n">
        <x:v>46346</x:v>
      </x:c>
      <x:c r="D7" s="61" t="n">
        <x:v>0.08</x:v>
      </x:c>
      <x:c r="E7" s="61" t="n">
        <x:v>0.2</x:v>
      </x:c>
      <x:c r="F7" s="61" t="n">
        <x:v>0.1</x:v>
      </x:c>
      <x:c r="G7" s="59" t="n">
        <x:f>H7-F7</x:f>
        <x:v>0.18000000000000002</x:v>
      </x:c>
      <x:c r="H7" s="59" t="n">
        <x:f>D7+E7</x:f>
        <x:v>0.28</x:v>
      </x:c>
      <x:c r="I7" s="15" t="n">
        <x:f>C7-B7+1</x:f>
        <x:v>26</x:v>
      </x:c>
    </x:row>
    <x:row r="8">
      <x:c r="A8" s="15" t="str">
        <x:v>2 Design/prototype</x:v>
      </x:c>
      <x:c r="B8" s="43" t="n">
        <x:v>46349</x:v>
      </x:c>
      <x:c r="C8" s="43" t="n">
        <x:v>46374</x:v>
      </x:c>
      <x:c r="D8" s="61" t="n">
        <x:v>0.095</x:v>
      </x:c>
      <x:c r="E8" s="61" t="n">
        <x:v>0.145</x:v>
      </x:c>
      <x:c r="F8" s="61" t="n">
        <x:v>0.1</x:v>
      </x:c>
      <x:c r="G8" s="59" t="n">
        <x:f>H8-F8</x:f>
        <x:v>0.13999999999999999</x:v>
      </x:c>
      <x:c r="H8" s="59" t="n">
        <x:f>D8+E8</x:f>
        <x:v>0.24</x:v>
      </x:c>
      <x:c r="I8" s="15" t="n">
        <x:f>C8-B8+1</x:f>
        <x:v>26</x:v>
      </x:c>
    </x:row>
    <x:row r="9">
      <x:c r="A9" s="15" t="str">
        <x:v>3 Build/integrate/test</x:v>
      </x:c>
      <x:c r="B9" s="43" t="n">
        <x:v>46391</x:v>
      </x:c>
      <x:c r="C9" s="43" t="n">
        <x:v>46444</x:v>
      </x:c>
      <x:c r="D9" s="61" t="n">
        <x:v>0.08</x:v>
      </x:c>
      <x:c r="E9" s="61" t="n">
        <x:v>0.62</x:v>
      </x:c>
      <x:c r="F9" s="61" t="n">
        <x:v>0.55</x:v>
      </x:c>
      <x:c r="G9" s="59" t="n">
        <x:f>H9-F9</x:f>
        <x:v>0.1499999999999999</x:v>
      </x:c>
      <x:c r="H9" s="59" t="n">
        <x:f>D9+E9</x:f>
        <x:v>0.7</x:v>
      </x:c>
      <x:c r="I9" s="15" t="n">
        <x:f>C9-B9+1</x:f>
        <x:v>54</x:v>
      </x:c>
    </x:row>
    <x:row r="10">
      <x:c r="A10" s="15" t="str">
        <x:v>4 Pilot/shakedown</x:v>
      </x:c>
      <x:c r="B10" s="43" t="n">
        <x:v>46447</x:v>
      </x:c>
      <x:c r="C10" s="43" t="n">
        <x:v>46563</x:v>
      </x:c>
      <x:c r="D10" s="61" t="n">
        <x:v>0.075</x:v>
      </x:c>
      <x:c r="E10" s="61" t="n">
        <x:v>0.505</x:v>
      </x:c>
      <x:c r="F10" s="61" t="n">
        <x:v>0.15</x:v>
      </x:c>
      <x:c r="G10" s="59" t="n">
        <x:f>H10-F10</x:f>
        <x:v>0.42999999999999994</x:v>
      </x:c>
      <x:c r="H10" s="59" t="n">
        <x:f>D10+E10</x:f>
        <x:v>0.58</x:v>
      </x:c>
      <x:c r="I10" s="15" t="n">
        <x:f>C10-B10+1</x:f>
        <x:v>117</x:v>
      </x:c>
    </x:row>
    <x:row r="11">
      <x:c r="A11" s="15" t="str">
        <x:v>5 Decide/transfer</x:v>
      </x:c>
      <x:c r="B11" s="43" t="n">
        <x:v>46566</x:v>
      </x:c>
      <x:c r="C11" s="43" t="n">
        <x:v>46568</x:v>
      </x:c>
      <x:c r="D11" s="61" t="n">
        <x:v>0.04</x:v>
      </x:c>
      <x:c r="E11" s="61" t="n">
        <x:v>0.04</x:v>
      </x:c>
      <x:c r="F11" s="61" t="n">
        <x:v>0</x:v>
      </x:c>
      <x:c r="G11" s="59" t="n">
        <x:f>H11-F11</x:f>
        <x:v>0.08</x:v>
      </x:c>
      <x:c r="H11" s="59" t="n">
        <x:f>D11+E11</x:f>
        <x:v>0.08</x:v>
      </x:c>
      <x:c r="I11" s="15" t="n">
        <x:f>C11-B11+1</x:f>
        <x:v>3</x:v>
      </x:c>
    </x:row>
    <x:row r="12">
      <x:c r="A12" s="15" t="str">
        <x:v>Total implementation</x:v>
      </x:c>
      <x:c r="B12" s="15"/>
      <x:c r="C12" s="15"/>
      <x:c r="D12" s="59" t="n">
        <x:f>SUM(D6:D11)</x:f>
        <x:v>0.42</x:v>
      </x:c>
      <x:c r="E12" s="59" t="n">
        <x:f>SUM(E6:E11)</x:f>
        <x:v>1.58</x:v>
      </x:c>
      <x:c r="F12" s="59" t="n">
        <x:f>SUM(F6:F11)</x:f>
        <x:v>0.9</x:v>
      </x:c>
      <x:c r="G12" s="59" t="n">
        <x:f>SUM(G6:G11)</x:f>
        <x:v>1.1</x:v>
      </x:c>
      <x:c r="H12" s="59" t="n">
        <x:f>SUM(H6:H11)</x:f>
        <x:v>2</x:v>
      </x:c>
      <x:c r="I12" s="15"/>
    </x:row>
    <x:row r="15">
      <x:c r="A15" s="11" t="str">
        <x:v>Control</x:v>
      </x:c>
      <x:c r="B15" s="11" t="str">
        <x:v>Result</x:v>
      </x:c>
      <x:c r="C15" s="11" t="str">
        <x:v>Expected</x:v>
      </x:c>
    </x:row>
    <x:row r="16">
      <x:c r="A16" s="15" t="str">
        <x:v>Fee schedule minus fee envelope</x:v>
      </x:c>
      <x:c r="B16" s="63" t="n">
        <x:f>SUM(D22:D33)-D12</x:f>
        <x:v>1.1102230246251565e-16</x:v>
      </x:c>
      <x:c r="C16" s="63" t="n">
        <x:v>0</x:v>
      </x:c>
    </x:row>
    <x:row r="17">
      <x:c r="A17" s="15" t="str">
        <x:v>Capex + Opex minus programme</x:v>
      </x:c>
      <x:c r="B17" s="63" t="n">
        <x:f>F12+G12-H12</x:f>
        <x:v>0</x:v>
      </x:c>
      <x:c r="C17" s="63" t="n">
        <x:v>0</x:v>
      </x:c>
    </x:row>
    <x:row r="18">
      <x:c r="A18" s="15" t="str">
        <x:v>Phase 0 initial exposure</x:v>
      </x:c>
      <x:c r="B18" s="63" t="n">
        <x:f>H6</x:f>
        <x:v>0.12000000000000001</x:v>
      </x:c>
      <x:c r="C18" s="63" t="n">
        <x:v>0.12</x:v>
      </x:c>
    </x:row>
    <x:row r="20">
      <x:c r="A20" t="str">
        <x:v>Payment timing</x:v>
      </x:c>
      <x:c r="B20" t="str">
        <x:v>Invoice + 30 calendar days. No extra charge for delayed collection.</x:v>
      </x:c>
      <x:c r="C20"/>
      <x:c r="D20"/>
    </x:row>
    <x:row r="21">
      <x:c r="A21" s="11" t="str">
        <x:v>Payment trigger</x:v>
      </x:c>
      <x:c r="B21" s="11" t="str">
        <x:v>Invoice date (assumed)</x:v>
      </x:c>
      <x:c r="C21" s="11" t="str">
        <x:v>Cash date</x:v>
      </x:c>
      <x:c r="D21" s="11" t="str">
        <x:v>Fee cash (NZ$m)</x:v>
      </x:c>
      <x:c r="E21" s="11" t="str">
        <x:v>Basis</x:v>
      </x:c>
    </x:row>
    <x:row r="22">
      <x:c r="A22" s="15" t="str">
        <x:v>Phase 0 signature</x:v>
      </x:c>
      <x:c r="B22" s="66" t="n">
        <x:v>46300</x:v>
      </x:c>
      <x:c r="C22" s="43" t="n">
        <x:f>B22+30</x:f>
        <x:v>46330</x:v>
      </x:c>
      <x:c r="D22" s="64" t="n">
        <x:f>D6*40%</x:f>
        <x:v>0.020000000000000004</x:v>
      </x:c>
      <x:c r="E22" s="15" t="str">
        <x:v>40% Phase 0 only</x:v>
      </x:c>
    </x:row>
    <x:row r="23">
      <x:c r="A23" s="15" t="str">
        <x:v>M1: Phase 0 acceptance + conditional Phase 1 release</x:v>
      </x:c>
      <x:c r="B23" s="66" t="n">
        <x:v>46318</x:v>
      </x:c>
      <x:c r="C23" s="43" t="n">
        <x:f>B23+30</x:f>
        <x:v>46348</x:v>
      </x:c>
      <x:c r="D23" s="64" t="n">
        <x:f>D6*60%+D7*40%</x:f>
        <x:v>0.062</x:v>
      </x:c>
      <x:c r="E23" s="15" t="str">
        <x:v>60% Phase 0; 40% Phase 1 only if M1 authorises release</x:v>
      </x:c>
    </x:row>
    <x:row r="24">
      <x:c r="A24" s="15" t="str">
        <x:v>M2: Phase 1 acceptance</x:v>
      </x:c>
      <x:c r="B24" s="66" t="n">
        <x:v>46346</x:v>
      </x:c>
      <x:c r="C24" s="43" t="n">
        <x:f>B24+30</x:f>
        <x:v>46376</x:v>
      </x:c>
      <x:c r="D24" s="64" t="n">
        <x:f>D7*60%</x:f>
        <x:v>0.048</x:v>
      </x:c>
      <x:c r="E24" s="15" t="str">
        <x:v>60% Phase 1</x:v>
      </x:c>
    </x:row>
    <x:row r="25">
      <x:c r="A25" s="15" t="str">
        <x:v>Phase 2 release</x:v>
      </x:c>
      <x:c r="B25" s="66" t="n">
        <x:v>46349</x:v>
      </x:c>
      <x:c r="C25" s="43" t="n">
        <x:f>B25+30</x:f>
        <x:v>46379</x:v>
      </x:c>
      <x:c r="D25" s="64" t="n">
        <x:f>D8*40%</x:f>
        <x:v>0.038000000000000006</x:v>
      </x:c>
      <x:c r="E25" s="15" t="str">
        <x:v>40% Phase 2</x:v>
      </x:c>
    </x:row>
    <x:row r="26">
      <x:c r="A26" s="15" t="str">
        <x:v>M3</x:v>
      </x:c>
      <x:c r="B26" s="66" t="n">
        <x:v>46374</x:v>
      </x:c>
      <x:c r="C26" s="43" t="n">
        <x:f>B26+30</x:f>
        <x:v>46404</x:v>
      </x:c>
      <x:c r="D26" s="64" t="n">
        <x:f>D8*60%</x:f>
        <x:v>0.056999999999999995</x:v>
      </x:c>
      <x:c r="E26" s="15" t="str">
        <x:v>60% Phase 2</x:v>
      </x:c>
    </x:row>
    <x:row r="27">
      <x:c r="A27" s="15" t="str">
        <x:v>Phase 3 release</x:v>
      </x:c>
      <x:c r="B27" s="66" t="n">
        <x:v>46391</x:v>
      </x:c>
      <x:c r="C27" s="43" t="n">
        <x:f>B27+30</x:f>
        <x:v>46421</x:v>
      </x:c>
      <x:c r="D27" s="64" t="n">
        <x:f>D9*40%</x:f>
        <x:v>0.032</x:v>
      </x:c>
      <x:c r="E27" s="15" t="str">
        <x:v>40% Phase 3</x:v>
      </x:c>
    </x:row>
    <x:row r="28">
      <x:c r="A28" s="15" t="str">
        <x:v>M4</x:v>
      </x:c>
      <x:c r="B28" s="66" t="n">
        <x:v>46444</x:v>
      </x:c>
      <x:c r="C28" s="43" t="n">
        <x:f>B28+30</x:f>
        <x:v>46474</x:v>
      </x:c>
      <x:c r="D28" s="64" t="n">
        <x:f>D9*60%</x:f>
        <x:v>0.048</x:v>
      </x:c>
      <x:c r="E28" s="15" t="str">
        <x:v>60% Phase 3</x:v>
      </x:c>
    </x:row>
    <x:row r="29">
      <x:c r="A29" s="15" t="str">
        <x:v>Phase 4 release</x:v>
      </x:c>
      <x:c r="B29" s="66" t="n">
        <x:v>46447</x:v>
      </x:c>
      <x:c r="C29" s="43" t="n">
        <x:f>B29+30</x:f>
        <x:v>46477</x:v>
      </x:c>
      <x:c r="D29" s="64" t="n">
        <x:f>D10*30%</x:f>
        <x:v>0.0225</x:v>
      </x:c>
      <x:c r="E29" s="15" t="str">
        <x:v>30% Phase 4</x:v>
      </x:c>
    </x:row>
    <x:row r="30">
      <x:c r="A30" s="15" t="str">
        <x:v>Cohort close</x:v>
      </x:c>
      <x:c r="B30" s="66" t="n">
        <x:v>46465</x:v>
      </x:c>
      <x:c r="C30" s="43" t="n">
        <x:f>B30+30</x:f>
        <x:v>46495</x:v>
      </x:c>
      <x:c r="D30" s="64" t="n">
        <x:f>D10*40%</x:f>
        <x:v>0.03</x:v>
      </x:c>
      <x:c r="E30" s="15" t="str">
        <x:v>40% Phase 4</x:v>
      </x:c>
    </x:row>
    <x:row r="31">
      <x:c r="A31" s="15" t="str">
        <x:v>M6A</x:v>
      </x:c>
      <x:c r="B31" s="66" t="n">
        <x:v>46563</x:v>
      </x:c>
      <x:c r="C31" s="43" t="n">
        <x:f>B31+30</x:f>
        <x:v>46593</x:v>
      </x:c>
      <x:c r="D31" s="64" t="n">
        <x:f>D10*30%</x:f>
        <x:v>0.0225</x:v>
      </x:c>
      <x:c r="E31" s="15" t="str">
        <x:v>30% Phase 4</x:v>
      </x:c>
    </x:row>
    <x:row r="32">
      <x:c r="A32" s="15" t="str">
        <x:v>Phase 5 release</x:v>
      </x:c>
      <x:c r="B32" s="66" t="n">
        <x:v>46566</x:v>
      </x:c>
      <x:c r="C32" s="43" t="n">
        <x:f>B32+30</x:f>
        <x:v>46596</x:v>
      </x:c>
      <x:c r="D32" s="64" t="n">
        <x:f>D11*50%</x:f>
        <x:v>0.02</x:v>
      </x:c>
      <x:c r="E32" s="15" t="str">
        <x:v>50% Phase 5</x:v>
      </x:c>
    </x:row>
    <x:row r="33">
      <x:c r="A33" s="15" t="str">
        <x:v>M7</x:v>
      </x:c>
      <x:c r="B33" s="66" t="n">
        <x:v>46568</x:v>
      </x:c>
      <x:c r="C33" s="43" t="n">
        <x:f>B33+30</x:f>
        <x:v>46598</x:v>
      </x:c>
      <x:c r="D33" s="64" t="n">
        <x:f>D11*50%</x:f>
        <x:v>0.02</x:v>
      </x:c>
      <x:c r="E33" s="15" t="str">
        <x:v>50% Phase 5</x:v>
      </x:c>
    </x:row>
  </x:sheetData>
  <x:mergeCells>
    <x:mergeCell ref="A1:I1"/>
    <x:mergeCell ref="A2:I2"/>
    <x:mergeCell ref="B20:I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</x:cols>
  <x:sheetData>
    <x:row r="1" ht="34" customHeight="1">
      <x:c r="A1" s="3" t="str">
        <x:v>Dated cash flow</x:v>
      </x:c>
      <x:c r="B1" s="3" t="str">
        <x:v>Dated cash flow</x:v>
      </x:c>
      <x:c r="C1" s="3" t="str">
        <x:v>Dated cash flow</x:v>
      </x:c>
      <x:c r="D1" s="3" t="str">
        <x:v>Dated cash flow</x:v>
      </x:c>
      <x:c r="E1" s="3" t="str">
        <x:v>Dated cash flow</x:v>
      </x:c>
      <x:c r="F1" s="3" t="str">
        <x:v>Dated cash flow</x:v>
      </x:c>
      <x:c r="G1" s="3" t="str">
        <x:v>Dated cash flow</x:v>
      </x:c>
      <x:c r="H1" s="3" t="str">
        <x:v>Dated cash flow</x:v>
      </x:c>
      <x:c r="I1" s="3" t="str">
        <x:v>Dated cash flow</x:v>
      </x:c>
      <x:c r="J1" s="3" t="str">
        <x:v>Dated cash flow</x:v>
      </x:c>
      <x:c r="K1" s="3" t="str">
        <x:v>Dated cash flow</x:v>
      </x:c>
      <x:c r="L1" s="3" t="str">
        <x:v>Dated cash flow</x:v>
      </x:c>
      <x:c r="M1" s="3" t="str">
        <x:v>Dated cash flow</x:v>
      </x:c>
    </x:row>
    <x:row r="2" ht="28" customHeight="1">
      <x:c r="A2" s="6" t="str">
        <x:v>Valuation: 5 October 2026. Monthly cash flows through 30 June 2030, NZ$m. Timing is illustrative, not a Spark cash forecast.</x:v>
      </x:c>
      <x:c r="B2" s="6" t="str">
        <x:v>Valuation: 5 October 2026. Monthly cash flows through 30 June 2030, NZ$m. Timing is illustrative, not a Spark cash forecast.</x:v>
      </x:c>
      <x:c r="C2" s="6" t="str">
        <x:v>Valuation: 5 October 2026. Monthly cash flows through 30 June 2030, NZ$m. Timing is illustrative, not a Spark cash forecast.</x:v>
      </x:c>
      <x:c r="D2" s="6" t="str">
        <x:v>Valuation: 5 October 2026. Monthly cash flows through 30 June 2030, NZ$m. Timing is illustrative, not a Spark cash forecast.</x:v>
      </x:c>
      <x:c r="E2" s="6" t="str">
        <x:v>Valuation: 5 October 2026. Monthly cash flows through 30 June 2030, NZ$m. Timing is illustrative, not a Spark cash forecast.</x:v>
      </x:c>
      <x:c r="F2" s="6" t="str">
        <x:v>Valuation: 5 October 2026. Monthly cash flows through 30 June 2030, NZ$m. Timing is illustrative, not a Spark cash forecast.</x:v>
      </x:c>
      <x:c r="G2" s="6" t="str">
        <x:v>Valuation: 5 October 2026. Monthly cash flows through 30 June 2030, NZ$m. Timing is illustrative, not a Spark cash forecast.</x:v>
      </x:c>
      <x:c r="H2" s="6" t="str">
        <x:v>Valuation: 5 October 2026. Monthly cash flows through 30 June 2030, NZ$m. Timing is illustrative, not a Spark cash forecast.</x:v>
      </x:c>
      <x:c r="I2" s="6" t="str">
        <x:v>Valuation: 5 October 2026. Monthly cash flows through 30 June 2030, NZ$m. Timing is illustrative, not a Spark cash forecast.</x:v>
      </x:c>
      <x:c r="J2" s="6" t="str">
        <x:v>Valuation: 5 October 2026. Monthly cash flows through 30 June 2030, NZ$m. Timing is illustrative, not a Spark cash forecast.</x:v>
      </x:c>
      <x:c r="K2" s="6" t="str">
        <x:v>Valuation: 5 October 2026. Monthly cash flows through 30 June 2030, NZ$m. Timing is illustrative, not a Spark cash forecast.</x:v>
      </x:c>
      <x:c r="L2" s="6" t="str">
        <x:v>Valuation: 5 October 2026. Monthly cash flows through 30 June 2030, NZ$m. Timing is illustrative, not a Spark cash forecast.</x:v>
      </x:c>
      <x:c r="M2" s="6" t="str">
        <x:v>Valuation: 5 October 2026. Monthly cash flows through 30 June 2030, NZ$m. Timing is illustrative, not a Spark cash forecast.</x:v>
      </x:c>
    </x:row>
    <x:row r="4" ht="34" customHeight="1">
      <x:c r="A4" t="str">
        <x:v>Convention</x:v>
      </x:c>
      <x:c r="B4" s="67" t="str">
        <x:v>Month-end recognition. Client cost spread evenly over each phase's calendar days; fees collected 30 days after assumed invoice. No terminal value, tax, financing or delay-cost escalation.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</x:row>
    <x:row r="5">
      <x:c r="A5" s="71" t="str">
        <x:v>Month index</x:v>
      </x:c>
      <x:c r="B5" s="71" t="n">
        <x:f>0</x:f>
        <x:v>0</x:v>
      </x:c>
      <x:c r="C5" s="71" t="n">
        <x:v>1</x:v>
      </x:c>
      <x:c r="D5" s="71" t="n">
        <x:v>2</x:v>
      </x:c>
      <x:c r="E5" s="71" t="n">
        <x:v>3</x:v>
      </x:c>
      <x:c r="F5" s="71" t="n">
        <x:v>4</x:v>
      </x:c>
      <x:c r="G5" s="71" t="n">
        <x:v>5</x:v>
      </x:c>
      <x:c r="H5" s="71" t="n">
        <x:v>6</x:v>
      </x:c>
      <x:c r="I5" s="71" t="n">
        <x:v>7</x:v>
      </x:c>
      <x:c r="J5" s="71" t="n">
        <x:v>8</x:v>
      </x:c>
      <x:c r="K5" s="71" t="n">
        <x:v>9</x:v>
      </x:c>
      <x:c r="L5" s="71" t="n">
        <x:v>10</x:v>
      </x:c>
      <x:c r="M5" s="71" t="n">
        <x:v>11</x:v>
      </x:c>
      <x:c r="N5" s="71" t="n">
        <x:v>12</x:v>
      </x:c>
      <x:c r="O5" s="71" t="n">
        <x:v>13</x:v>
      </x:c>
      <x:c r="P5" s="71" t="n">
        <x:v>14</x:v>
      </x:c>
      <x:c r="Q5" s="71" t="n">
        <x:v>15</x:v>
      </x:c>
      <x:c r="R5" s="71" t="n">
        <x:v>16</x:v>
      </x:c>
      <x:c r="S5" s="71" t="n">
        <x:v>17</x:v>
      </x:c>
      <x:c r="T5" s="71" t="n">
        <x:v>18</x:v>
      </x:c>
      <x:c r="U5" s="71" t="n">
        <x:v>19</x:v>
      </x:c>
      <x:c r="V5" s="71" t="n">
        <x:v>20</x:v>
      </x:c>
      <x:c r="W5" s="71" t="n">
        <x:v>21</x:v>
      </x:c>
      <x:c r="X5" s="71" t="n">
        <x:v>22</x:v>
      </x:c>
      <x:c r="Y5" s="71" t="n">
        <x:v>23</x:v>
      </x:c>
      <x:c r="Z5" s="71" t="n">
        <x:v>24</x:v>
      </x:c>
      <x:c r="AA5" s="71" t="n">
        <x:v>25</x:v>
      </x:c>
      <x:c r="AB5" s="71" t="n">
        <x:v>26</x:v>
      </x:c>
      <x:c r="AC5" s="71" t="n">
        <x:v>27</x:v>
      </x:c>
      <x:c r="AD5" s="71" t="n">
        <x:v>28</x:v>
      </x:c>
      <x:c r="AE5" s="71" t="n">
        <x:v>29</x:v>
      </x:c>
      <x:c r="AF5" s="71" t="n">
        <x:v>30</x:v>
      </x:c>
      <x:c r="AG5" s="71" t="n">
        <x:v>31</x:v>
      </x:c>
      <x:c r="AH5" s="71" t="n">
        <x:v>32</x:v>
      </x:c>
      <x:c r="AI5" s="71" t="n">
        <x:v>33</x:v>
      </x:c>
      <x:c r="AJ5" s="71" t="n">
        <x:v>34</x:v>
      </x:c>
      <x:c r="AK5" s="71" t="n">
        <x:v>35</x:v>
      </x:c>
      <x:c r="AL5" s="71" t="n">
        <x:v>36</x:v>
      </x:c>
      <x:c r="AM5" s="71" t="n">
        <x:v>37</x:v>
      </x:c>
      <x:c r="AN5" s="71" t="n">
        <x:v>38</x:v>
      </x:c>
      <x:c r="AO5" s="71" t="n">
        <x:v>39</x:v>
      </x:c>
      <x:c r="AP5" s="71" t="n">
        <x:v>40</x:v>
      </x:c>
      <x:c r="AQ5" s="71" t="n">
        <x:v>41</x:v>
      </x:c>
      <x:c r="AR5" s="71" t="n">
        <x:v>42</x:v>
      </x:c>
      <x:c r="AS5" s="71" t="n">
        <x:v>43</x:v>
      </x:c>
      <x:c r="AT5" s="71" t="n">
        <x:v>44</x:v>
      </x:c>
      <x:c r="AU5" s="71" t="n">
        <x:v>45</x:v>
      </x:c>
    </x:row>
    <x:row r="6">
      <x:c r="A6" s="71" t="str">
        <x:v>Cash-flow date</x:v>
      </x:c>
      <x:c r="B6" s="73" t="n">
        <x:f>'Assumptions'!B5</x:f>
        <x:v>46300</x:v>
      </x:c>
      <x:c r="C6" s="72" t="n">
        <x:f>EOMONTH($B$6,0)</x:f>
        <x:v>46326</x:v>
      </x:c>
      <x:c r="D6" s="72" t="n">
        <x:f>EOMONTH($B$6,1)</x:f>
        <x:v>46356</x:v>
      </x:c>
      <x:c r="E6" s="72" t="n">
        <x:f>EOMONTH($B$6,2)</x:f>
        <x:v>46387</x:v>
      </x:c>
      <x:c r="F6" s="72" t="n">
        <x:f>EOMONTH($B$6,3)</x:f>
        <x:v>46418</x:v>
      </x:c>
      <x:c r="G6" s="72" t="n">
        <x:f>EOMONTH($B$6,4)</x:f>
        <x:v>46446</x:v>
      </x:c>
      <x:c r="H6" s="72" t="n">
        <x:f>EOMONTH($B$6,5)</x:f>
        <x:v>46477</x:v>
      </x:c>
      <x:c r="I6" s="72" t="n">
        <x:f>EOMONTH($B$6,6)</x:f>
        <x:v>46507</x:v>
      </x:c>
      <x:c r="J6" s="72" t="n">
        <x:f>EOMONTH($B$6,7)</x:f>
        <x:v>46538</x:v>
      </x:c>
      <x:c r="K6" s="72" t="n">
        <x:f>EOMONTH($B$6,8)</x:f>
        <x:v>46568</x:v>
      </x:c>
      <x:c r="L6" s="72" t="n">
        <x:f>EOMONTH($B$6,9)</x:f>
        <x:v>46599</x:v>
      </x:c>
      <x:c r="M6" s="72" t="n">
        <x:f>EOMONTH($B$6,10)</x:f>
        <x:v>46630</x:v>
      </x:c>
      <x:c r="N6" s="72" t="n">
        <x:f>EOMONTH($B$6,11)</x:f>
        <x:v>46660</x:v>
      </x:c>
      <x:c r="O6" s="72" t="n">
        <x:f>EOMONTH($B$6,12)</x:f>
        <x:v>46691</x:v>
      </x:c>
      <x:c r="P6" s="72" t="n">
        <x:f>EOMONTH($B$6,13)</x:f>
        <x:v>46721</x:v>
      </x:c>
      <x:c r="Q6" s="72" t="n">
        <x:f>EOMONTH($B$6,14)</x:f>
        <x:v>46752</x:v>
      </x:c>
      <x:c r="R6" s="72" t="n">
        <x:f>EOMONTH($B$6,15)</x:f>
        <x:v>46783</x:v>
      </x:c>
      <x:c r="S6" s="72" t="n">
        <x:f>EOMONTH($B$6,16)</x:f>
        <x:v>46812</x:v>
      </x:c>
      <x:c r="T6" s="72" t="n">
        <x:f>EOMONTH($B$6,17)</x:f>
        <x:v>46843</x:v>
      </x:c>
      <x:c r="U6" s="72" t="n">
        <x:f>EOMONTH($B$6,18)</x:f>
        <x:v>46873</x:v>
      </x:c>
      <x:c r="V6" s="72" t="n">
        <x:f>EOMONTH($B$6,19)</x:f>
        <x:v>46904</x:v>
      </x:c>
      <x:c r="W6" s="72" t="n">
        <x:f>EOMONTH($B$6,20)</x:f>
        <x:v>46934</x:v>
      </x:c>
      <x:c r="X6" s="72" t="n">
        <x:f>EOMONTH($B$6,21)</x:f>
        <x:v>46965</x:v>
      </x:c>
      <x:c r="Y6" s="72" t="n">
        <x:f>EOMONTH($B$6,22)</x:f>
        <x:v>46996</x:v>
      </x:c>
      <x:c r="Z6" s="72" t="n">
        <x:f>EOMONTH($B$6,23)</x:f>
        <x:v>47026</x:v>
      </x:c>
      <x:c r="AA6" s="72" t="n">
        <x:f>EOMONTH($B$6,24)</x:f>
        <x:v>47057</x:v>
      </x:c>
      <x:c r="AB6" s="72" t="n">
        <x:f>EOMONTH($B$6,25)</x:f>
        <x:v>47087</x:v>
      </x:c>
      <x:c r="AC6" s="72" t="n">
        <x:f>EOMONTH($B$6,26)</x:f>
        <x:v>47118</x:v>
      </x:c>
      <x:c r="AD6" s="72" t="n">
        <x:f>EOMONTH($B$6,27)</x:f>
        <x:v>47149</x:v>
      </x:c>
      <x:c r="AE6" s="72" t="n">
        <x:f>EOMONTH($B$6,28)</x:f>
        <x:v>47177</x:v>
      </x:c>
      <x:c r="AF6" s="72" t="n">
        <x:f>EOMONTH($B$6,29)</x:f>
        <x:v>47208</x:v>
      </x:c>
      <x:c r="AG6" s="72" t="n">
        <x:f>EOMONTH($B$6,30)</x:f>
        <x:v>47238</x:v>
      </x:c>
      <x:c r="AH6" s="72" t="n">
        <x:f>EOMONTH($B$6,31)</x:f>
        <x:v>47269</x:v>
      </x:c>
      <x:c r="AI6" s="72" t="n">
        <x:f>EOMONTH($B$6,32)</x:f>
        <x:v>47299</x:v>
      </x:c>
      <x:c r="AJ6" s="72" t="n">
        <x:f>EOMONTH($B$6,33)</x:f>
        <x:v>47330</x:v>
      </x:c>
      <x:c r="AK6" s="72" t="n">
        <x:f>EOMONTH($B$6,34)</x:f>
        <x:v>47361</x:v>
      </x:c>
      <x:c r="AL6" s="72" t="n">
        <x:f>EOMONTH($B$6,35)</x:f>
        <x:v>47391</x:v>
      </x:c>
      <x:c r="AM6" s="72" t="n">
        <x:f>EOMONTH($B$6,36)</x:f>
        <x:v>47422</x:v>
      </x:c>
      <x:c r="AN6" s="72" t="n">
        <x:f>EOMONTH($B$6,37)</x:f>
        <x:v>47452</x:v>
      </x:c>
      <x:c r="AO6" s="72" t="n">
        <x:f>EOMONTH($B$6,38)</x:f>
        <x:v>47483</x:v>
      </x:c>
      <x:c r="AP6" s="72" t="n">
        <x:f>EOMONTH($B$6,39)</x:f>
        <x:v>47514</x:v>
      </x:c>
      <x:c r="AQ6" s="72" t="n">
        <x:f>EOMONTH($B$6,40)</x:f>
        <x:v>47542</x:v>
      </x:c>
      <x:c r="AR6" s="72" t="n">
        <x:f>EOMONTH($B$6,41)</x:f>
        <x:v>47573</x:v>
      </x:c>
      <x:c r="AS6" s="72" t="n">
        <x:f>EOMONTH($B$6,42)</x:f>
        <x:v>47603</x:v>
      </x:c>
      <x:c r="AT6" s="72" t="n">
        <x:f>EOMONTH($B$6,43)</x:f>
        <x:v>47634</x:v>
      </x:c>
      <x:c r="AU6" s="72" t="n">
        <x:f>EOMONTH($B$6,44)</x:f>
        <x:v>47664</x:v>
      </x:c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  <x:c r="AE7" s="15"/>
      <x:c r="AF7" s="15"/>
      <x:c r="AG7" s="15"/>
      <x:c r="AH7" s="15"/>
      <x:c r="AI7" s="15"/>
      <x:c r="AJ7" s="15"/>
      <x:c r="AK7" s="15"/>
      <x:c r="AL7" s="15"/>
      <x:c r="AM7" s="15"/>
      <x:c r="AN7" s="15"/>
      <x:c r="AO7" s="15"/>
      <x:c r="AP7" s="15"/>
      <x:c r="AQ7" s="15"/>
      <x:c r="AR7" s="15"/>
      <x:c r="AS7" s="15"/>
      <x:c r="AT7" s="15"/>
      <x:c r="AU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  <x:c r="AA8" s="15"/>
      <x:c r="AB8" s="15"/>
      <x:c r="AC8" s="15"/>
      <x:c r="AD8" s="15"/>
      <x:c r="AE8" s="15"/>
      <x:c r="AF8" s="15"/>
      <x:c r="AG8" s="15"/>
      <x:c r="AH8" s="15"/>
      <x:c r="AI8" s="15"/>
      <x:c r="AJ8" s="15"/>
      <x:c r="AK8" s="15"/>
      <x:c r="AL8" s="15"/>
      <x:c r="AM8" s="15"/>
      <x:c r="AN8" s="15"/>
      <x:c r="AO8" s="15"/>
      <x:c r="AP8" s="15"/>
      <x:c r="AQ8" s="15"/>
      <x:c r="AR8" s="15"/>
      <x:c r="AS8" s="15"/>
      <x:c r="AT8" s="15"/>
      <x:c r="AU8" s="15"/>
    </x:row>
    <x:row r="9">
      <x:c r="A9" s="15" t="str">
        <x:v>Consulting fee payments</x:v>
      </x:c>
      <x:c r="B9" s="74" t="n">
        <x:v>0</x:v>
      </x:c>
      <x:c r="C9" s="78" t="n">
        <x:f>SUMIFS('Phase Costs'!$D$22:$D$33,'Phase Costs'!$C$22:$C$33,"&gt;="&amp;(EOMONTH(C$6,-1)+1),'Phase Costs'!$C$22:$C$33,"&lt;="&amp;C$6)</x:f>
        <x:v>0</x:v>
      </x:c>
      <x:c r="D9" s="78" t="n">
        <x:f>SUMIFS('Phase Costs'!$D$22:$D$33,'Phase Costs'!$C$22:$C$33,"&gt;="&amp;(EOMONTH(D$6,-1)+1),'Phase Costs'!$C$22:$C$33,"&lt;="&amp;D$6)</x:f>
        <x:v>0.082</x:v>
      </x:c>
      <x:c r="E9" s="78" t="n">
        <x:f>SUMIFS('Phase Costs'!$D$22:$D$33,'Phase Costs'!$C$22:$C$33,"&gt;="&amp;(EOMONTH(E$6,-1)+1),'Phase Costs'!$C$22:$C$33,"&lt;="&amp;E$6)</x:f>
        <x:v>0.086</x:v>
      </x:c>
      <x:c r="F9" s="78" t="n">
        <x:f>SUMIFS('Phase Costs'!$D$22:$D$33,'Phase Costs'!$C$22:$C$33,"&gt;="&amp;(EOMONTH(F$6,-1)+1),'Phase Costs'!$C$22:$C$33,"&lt;="&amp;F$6)</x:f>
        <x:v>0.057</x:v>
      </x:c>
      <x:c r="G9" s="78" t="n">
        <x:f>SUMIFS('Phase Costs'!$D$22:$D$33,'Phase Costs'!$C$22:$C$33,"&gt;="&amp;(EOMONTH(G$6,-1)+1),'Phase Costs'!$C$22:$C$33,"&lt;="&amp;G$6)</x:f>
        <x:v>0.032</x:v>
      </x:c>
      <x:c r="H9" s="78" t="n">
        <x:f>SUMIFS('Phase Costs'!$D$22:$D$33,'Phase Costs'!$C$22:$C$33,"&gt;="&amp;(EOMONTH(H$6,-1)+1),'Phase Costs'!$C$22:$C$33,"&lt;="&amp;H$6)</x:f>
        <x:v>0.0705</x:v>
      </x:c>
      <x:c r="I9" s="78" t="n">
        <x:f>SUMIFS('Phase Costs'!$D$22:$D$33,'Phase Costs'!$C$22:$C$33,"&gt;="&amp;(EOMONTH(I$6,-1)+1),'Phase Costs'!$C$22:$C$33,"&lt;="&amp;I$6)</x:f>
        <x:v>0.03</x:v>
      </x:c>
      <x:c r="J9" s="78" t="n">
        <x:f>SUMIFS('Phase Costs'!$D$22:$D$33,'Phase Costs'!$C$22:$C$33,"&gt;="&amp;(EOMONTH(J$6,-1)+1),'Phase Costs'!$C$22:$C$33,"&lt;="&amp;J$6)</x:f>
        <x:v>0</x:v>
      </x:c>
      <x:c r="K9" s="78" t="n">
        <x:f>SUMIFS('Phase Costs'!$D$22:$D$33,'Phase Costs'!$C$22:$C$33,"&gt;="&amp;(EOMONTH(K$6,-1)+1),'Phase Costs'!$C$22:$C$33,"&lt;="&amp;K$6)</x:f>
        <x:v>0</x:v>
      </x:c>
      <x:c r="L9" s="78" t="n">
        <x:f>SUMIFS('Phase Costs'!$D$22:$D$33,'Phase Costs'!$C$22:$C$33,"&gt;="&amp;(EOMONTH(L$6,-1)+1),'Phase Costs'!$C$22:$C$33,"&lt;="&amp;L$6)</x:f>
        <x:v>0.0625</x:v>
      </x:c>
      <x:c r="M9" s="78" t="n">
        <x:f>SUMIFS('Phase Costs'!$D$22:$D$33,'Phase Costs'!$C$22:$C$33,"&gt;="&amp;(EOMONTH(M$6,-1)+1),'Phase Costs'!$C$22:$C$33,"&lt;="&amp;M$6)</x:f>
        <x:v>0</x:v>
      </x:c>
      <x:c r="N9" s="78" t="n">
        <x:f>SUMIFS('Phase Costs'!$D$22:$D$33,'Phase Costs'!$C$22:$C$33,"&gt;="&amp;(EOMONTH(N$6,-1)+1),'Phase Costs'!$C$22:$C$33,"&lt;="&amp;N$6)</x:f>
        <x:v>0</x:v>
      </x:c>
      <x:c r="O9" s="78" t="n">
        <x:f>SUMIFS('Phase Costs'!$D$22:$D$33,'Phase Costs'!$C$22:$C$33,"&gt;="&amp;(EOMONTH(O$6,-1)+1),'Phase Costs'!$C$22:$C$33,"&lt;="&amp;O$6)</x:f>
        <x:v>0</x:v>
      </x:c>
      <x:c r="P9" s="78" t="n">
        <x:f>SUMIFS('Phase Costs'!$D$22:$D$33,'Phase Costs'!$C$22:$C$33,"&gt;="&amp;(EOMONTH(P$6,-1)+1),'Phase Costs'!$C$22:$C$33,"&lt;="&amp;P$6)</x:f>
        <x:v>0</x:v>
      </x:c>
      <x:c r="Q9" s="78" t="n">
        <x:f>SUMIFS('Phase Costs'!$D$22:$D$33,'Phase Costs'!$C$22:$C$33,"&gt;="&amp;(EOMONTH(Q$6,-1)+1),'Phase Costs'!$C$22:$C$33,"&lt;="&amp;Q$6)</x:f>
        <x:v>0</x:v>
      </x:c>
      <x:c r="R9" s="78" t="n">
        <x:f>SUMIFS('Phase Costs'!$D$22:$D$33,'Phase Costs'!$C$22:$C$33,"&gt;="&amp;(EOMONTH(R$6,-1)+1),'Phase Costs'!$C$22:$C$33,"&lt;="&amp;R$6)</x:f>
        <x:v>0</x:v>
      </x:c>
      <x:c r="S9" s="78" t="n">
        <x:f>SUMIFS('Phase Costs'!$D$22:$D$33,'Phase Costs'!$C$22:$C$33,"&gt;="&amp;(EOMONTH(S$6,-1)+1),'Phase Costs'!$C$22:$C$33,"&lt;="&amp;S$6)</x:f>
        <x:v>0</x:v>
      </x:c>
      <x:c r="T9" s="78" t="n">
        <x:f>SUMIFS('Phase Costs'!$D$22:$D$33,'Phase Costs'!$C$22:$C$33,"&gt;="&amp;(EOMONTH(T$6,-1)+1),'Phase Costs'!$C$22:$C$33,"&lt;="&amp;T$6)</x:f>
        <x:v>0</x:v>
      </x:c>
      <x:c r="U9" s="78" t="n">
        <x:f>SUMIFS('Phase Costs'!$D$22:$D$33,'Phase Costs'!$C$22:$C$33,"&gt;="&amp;(EOMONTH(U$6,-1)+1),'Phase Costs'!$C$22:$C$33,"&lt;="&amp;U$6)</x:f>
        <x:v>0</x:v>
      </x:c>
      <x:c r="V9" s="78" t="n">
        <x:f>SUMIFS('Phase Costs'!$D$22:$D$33,'Phase Costs'!$C$22:$C$33,"&gt;="&amp;(EOMONTH(V$6,-1)+1),'Phase Costs'!$C$22:$C$33,"&lt;="&amp;V$6)</x:f>
        <x:v>0</x:v>
      </x:c>
      <x:c r="W9" s="78" t="n">
        <x:f>SUMIFS('Phase Costs'!$D$22:$D$33,'Phase Costs'!$C$22:$C$33,"&gt;="&amp;(EOMONTH(W$6,-1)+1),'Phase Costs'!$C$22:$C$33,"&lt;="&amp;W$6)</x:f>
        <x:v>0</x:v>
      </x:c>
      <x:c r="X9" s="78" t="n">
        <x:f>SUMIFS('Phase Costs'!$D$22:$D$33,'Phase Costs'!$C$22:$C$33,"&gt;="&amp;(EOMONTH(X$6,-1)+1),'Phase Costs'!$C$22:$C$33,"&lt;="&amp;X$6)</x:f>
        <x:v>0</x:v>
      </x:c>
      <x:c r="Y9" s="78" t="n">
        <x:f>SUMIFS('Phase Costs'!$D$22:$D$33,'Phase Costs'!$C$22:$C$33,"&gt;="&amp;(EOMONTH(Y$6,-1)+1),'Phase Costs'!$C$22:$C$33,"&lt;="&amp;Y$6)</x:f>
        <x:v>0</x:v>
      </x:c>
      <x:c r="Z9" s="78" t="n">
        <x:f>SUMIFS('Phase Costs'!$D$22:$D$33,'Phase Costs'!$C$22:$C$33,"&gt;="&amp;(EOMONTH(Z$6,-1)+1),'Phase Costs'!$C$22:$C$33,"&lt;="&amp;Z$6)</x:f>
        <x:v>0</x:v>
      </x:c>
      <x:c r="AA9" s="78" t="n">
        <x:f>SUMIFS('Phase Costs'!$D$22:$D$33,'Phase Costs'!$C$22:$C$33,"&gt;="&amp;(EOMONTH(AA$6,-1)+1),'Phase Costs'!$C$22:$C$33,"&lt;="&amp;AA$6)</x:f>
        <x:v>0</x:v>
      </x:c>
      <x:c r="AB9" s="78" t="n">
        <x:f>SUMIFS('Phase Costs'!$D$22:$D$33,'Phase Costs'!$C$22:$C$33,"&gt;="&amp;(EOMONTH(AB$6,-1)+1),'Phase Costs'!$C$22:$C$33,"&lt;="&amp;AB$6)</x:f>
        <x:v>0</x:v>
      </x:c>
      <x:c r="AC9" s="78" t="n">
        <x:f>SUMIFS('Phase Costs'!$D$22:$D$33,'Phase Costs'!$C$22:$C$33,"&gt;="&amp;(EOMONTH(AC$6,-1)+1),'Phase Costs'!$C$22:$C$33,"&lt;="&amp;AC$6)</x:f>
        <x:v>0</x:v>
      </x:c>
      <x:c r="AD9" s="78" t="n">
        <x:f>SUMIFS('Phase Costs'!$D$22:$D$33,'Phase Costs'!$C$22:$C$33,"&gt;="&amp;(EOMONTH(AD$6,-1)+1),'Phase Costs'!$C$22:$C$33,"&lt;="&amp;AD$6)</x:f>
        <x:v>0</x:v>
      </x:c>
      <x:c r="AE9" s="78" t="n">
        <x:f>SUMIFS('Phase Costs'!$D$22:$D$33,'Phase Costs'!$C$22:$C$33,"&gt;="&amp;(EOMONTH(AE$6,-1)+1),'Phase Costs'!$C$22:$C$33,"&lt;="&amp;AE$6)</x:f>
        <x:v>0</x:v>
      </x:c>
      <x:c r="AF9" s="78" t="n">
        <x:f>SUMIFS('Phase Costs'!$D$22:$D$33,'Phase Costs'!$C$22:$C$33,"&gt;="&amp;(EOMONTH(AF$6,-1)+1),'Phase Costs'!$C$22:$C$33,"&lt;="&amp;AF$6)</x:f>
        <x:v>0</x:v>
      </x:c>
      <x:c r="AG9" s="78" t="n">
        <x:f>SUMIFS('Phase Costs'!$D$22:$D$33,'Phase Costs'!$C$22:$C$33,"&gt;="&amp;(EOMONTH(AG$6,-1)+1),'Phase Costs'!$C$22:$C$33,"&lt;="&amp;AG$6)</x:f>
        <x:v>0</x:v>
      </x:c>
      <x:c r="AH9" s="78" t="n">
        <x:f>SUMIFS('Phase Costs'!$D$22:$D$33,'Phase Costs'!$C$22:$C$33,"&gt;="&amp;(EOMONTH(AH$6,-1)+1),'Phase Costs'!$C$22:$C$33,"&lt;="&amp;AH$6)</x:f>
        <x:v>0</x:v>
      </x:c>
      <x:c r="AI9" s="78" t="n">
        <x:f>SUMIFS('Phase Costs'!$D$22:$D$33,'Phase Costs'!$C$22:$C$33,"&gt;="&amp;(EOMONTH(AI$6,-1)+1),'Phase Costs'!$C$22:$C$33,"&lt;="&amp;AI$6)</x:f>
        <x:v>0</x:v>
      </x:c>
      <x:c r="AJ9" s="78" t="n">
        <x:f>SUMIFS('Phase Costs'!$D$22:$D$33,'Phase Costs'!$C$22:$C$33,"&gt;="&amp;(EOMONTH(AJ$6,-1)+1),'Phase Costs'!$C$22:$C$33,"&lt;="&amp;AJ$6)</x:f>
        <x:v>0</x:v>
      </x:c>
      <x:c r="AK9" s="78" t="n">
        <x:f>SUMIFS('Phase Costs'!$D$22:$D$33,'Phase Costs'!$C$22:$C$33,"&gt;="&amp;(EOMONTH(AK$6,-1)+1),'Phase Costs'!$C$22:$C$33,"&lt;="&amp;AK$6)</x:f>
        <x:v>0</x:v>
      </x:c>
      <x:c r="AL9" s="78" t="n">
        <x:f>SUMIFS('Phase Costs'!$D$22:$D$33,'Phase Costs'!$C$22:$C$33,"&gt;="&amp;(EOMONTH(AL$6,-1)+1),'Phase Costs'!$C$22:$C$33,"&lt;="&amp;AL$6)</x:f>
        <x:v>0</x:v>
      </x:c>
      <x:c r="AM9" s="78" t="n">
        <x:f>SUMIFS('Phase Costs'!$D$22:$D$33,'Phase Costs'!$C$22:$C$33,"&gt;="&amp;(EOMONTH(AM$6,-1)+1),'Phase Costs'!$C$22:$C$33,"&lt;="&amp;AM$6)</x:f>
        <x:v>0</x:v>
      </x:c>
      <x:c r="AN9" s="78" t="n">
        <x:f>SUMIFS('Phase Costs'!$D$22:$D$33,'Phase Costs'!$C$22:$C$33,"&gt;="&amp;(EOMONTH(AN$6,-1)+1),'Phase Costs'!$C$22:$C$33,"&lt;="&amp;AN$6)</x:f>
        <x:v>0</x:v>
      </x:c>
      <x:c r="AO9" s="78" t="n">
        <x:f>SUMIFS('Phase Costs'!$D$22:$D$33,'Phase Costs'!$C$22:$C$33,"&gt;="&amp;(EOMONTH(AO$6,-1)+1),'Phase Costs'!$C$22:$C$33,"&lt;="&amp;AO$6)</x:f>
        <x:v>0</x:v>
      </x:c>
      <x:c r="AP9" s="78" t="n">
        <x:f>SUMIFS('Phase Costs'!$D$22:$D$33,'Phase Costs'!$C$22:$C$33,"&gt;="&amp;(EOMONTH(AP$6,-1)+1),'Phase Costs'!$C$22:$C$33,"&lt;="&amp;AP$6)</x:f>
        <x:v>0</x:v>
      </x:c>
      <x:c r="AQ9" s="78" t="n">
        <x:f>SUMIFS('Phase Costs'!$D$22:$D$33,'Phase Costs'!$C$22:$C$33,"&gt;="&amp;(EOMONTH(AQ$6,-1)+1),'Phase Costs'!$C$22:$C$33,"&lt;="&amp;AQ$6)</x:f>
        <x:v>0</x:v>
      </x:c>
      <x:c r="AR9" s="78" t="n">
        <x:f>SUMIFS('Phase Costs'!$D$22:$D$33,'Phase Costs'!$C$22:$C$33,"&gt;="&amp;(EOMONTH(AR$6,-1)+1),'Phase Costs'!$C$22:$C$33,"&lt;="&amp;AR$6)</x:f>
        <x:v>0</x:v>
      </x:c>
      <x:c r="AS9" s="78" t="n">
        <x:f>SUMIFS('Phase Costs'!$D$22:$D$33,'Phase Costs'!$C$22:$C$33,"&gt;="&amp;(EOMONTH(AS$6,-1)+1),'Phase Costs'!$C$22:$C$33,"&lt;="&amp;AS$6)</x:f>
        <x:v>0</x:v>
      </x:c>
      <x:c r="AT9" s="78" t="n">
        <x:f>SUMIFS('Phase Costs'!$D$22:$D$33,'Phase Costs'!$C$22:$C$33,"&gt;="&amp;(EOMONTH(AT$6,-1)+1),'Phase Costs'!$C$22:$C$33,"&lt;="&amp;AT$6)</x:f>
        <x:v>0</x:v>
      </x:c>
      <x:c r="AU9" s="78" t="n">
        <x:f>SUMIFS('Phase Costs'!$D$22:$D$33,'Phase Costs'!$C$22:$C$33,"&gt;="&amp;(EOMONTH(AU$6,-1)+1),'Phase Costs'!$C$22:$C$33,"&lt;="&amp;AU$6)</x:f>
        <x:v>0</x:v>
      </x:c>
    </x:row>
    <x:row r="10">
      <x:c r="A10" s="15" t="str">
        <x:v>Client / third-party payments</x:v>
      </x:c>
      <x:c r="B10" s="74" t="n">
        <x:v>0</x:v>
      </x:c>
      <x:c r="C10" s="78" t="n">
        <x:f>'Phase Costs'!$E$6*MAX(0,MIN(C$6,'Phase Costs'!$C$6)-MAX(EOMONTH(C$6,-1)+1,'Phase Costs'!$B$6)+1)/'Phase Costs'!$I$6+'Phase Costs'!$E$7*MAX(0,MIN(C$6,'Phase Costs'!$C$7)-MAX(EOMONTH(C$6,-1)+1,'Phase Costs'!$B$7)+1)/'Phase Costs'!$I$7+'Phase Costs'!$E$8*MAX(0,MIN(C$6,'Phase Costs'!$C$8)-MAX(EOMONTH(C$6,-1)+1,'Phase Costs'!$B$8)+1)/'Phase Costs'!$I$8+'Phase Costs'!$E$9*MAX(0,MIN(C$6,'Phase Costs'!$C$9)-MAX(EOMONTH(C$6,-1)+1,'Phase Costs'!$B$9)+1)/'Phase Costs'!$I$9+'Phase Costs'!$E$10*MAX(0,MIN(C$6,'Phase Costs'!$C$10)-MAX(EOMONTH(C$6,-1)+1,'Phase Costs'!$B$10)+1)/'Phase Costs'!$I$10+'Phase Costs'!$E$11*MAX(0,MIN(C$6,'Phase Costs'!$C$11)-MAX(EOMONTH(C$6,-1)+1,'Phase Costs'!$B$11)+1)/'Phase Costs'!$I$11</x:f>
        <x:v>0.11615385416666667</x:v>
      </x:c>
      <x:c r="D10" s="78" t="n">
        <x:f>'Phase Costs'!$E$6*MAX(0,MIN(D$6,'Phase Costs'!$C$6)-MAX(EOMONTH(D$6,-1)+1,'Phase Costs'!$B$6)+1)/'Phase Costs'!$I$6+'Phase Costs'!$E$7*MAX(0,MIN(D$6,'Phase Costs'!$C$7)-MAX(EOMONTH(D$6,-1)+1,'Phase Costs'!$B$7)+1)/'Phase Costs'!$I$7+'Phase Costs'!$E$8*MAX(0,MIN(D$6,'Phase Costs'!$C$8)-MAX(EOMONTH(D$6,-1)+1,'Phase Costs'!$B$8)+1)/'Phase Costs'!$I$8+'Phase Costs'!$E$9*MAX(0,MIN(D$6,'Phase Costs'!$C$9)-MAX(EOMONTH(D$6,-1)+1,'Phase Costs'!$B$9)+1)/'Phase Costs'!$I$9+'Phase Costs'!$E$10*MAX(0,MIN(D$6,'Phase Costs'!$C$10)-MAX(EOMONTH(D$6,-1)+1,'Phase Costs'!$B$10)+1)/'Phase Costs'!$I$10+'Phase Costs'!$E$11*MAX(0,MIN(D$6,'Phase Costs'!$C$11)-MAX(EOMONTH(D$6,-1)+1,'Phase Costs'!$B$11)+1)/'Phase Costs'!$I$11</x:f>
        <x:v>0.19846153935185185</x:v>
      </x:c>
      <x:c r="E10" s="78" t="n">
        <x:f>'Phase Costs'!$E$6*MAX(0,MIN(E$6,'Phase Costs'!$C$6)-MAX(EOMONTH(E$6,-1)+1,'Phase Costs'!$B$6)+1)/'Phase Costs'!$I$6+'Phase Costs'!$E$7*MAX(0,MIN(E$6,'Phase Costs'!$C$7)-MAX(EOMONTH(E$6,-1)+1,'Phase Costs'!$B$7)+1)/'Phase Costs'!$I$7+'Phase Costs'!$E$8*MAX(0,MIN(E$6,'Phase Costs'!$C$8)-MAX(EOMONTH(E$6,-1)+1,'Phase Costs'!$B$8)+1)/'Phase Costs'!$I$8+'Phase Costs'!$E$9*MAX(0,MIN(E$6,'Phase Costs'!$C$9)-MAX(EOMONTH(E$6,-1)+1,'Phase Costs'!$B$9)+1)/'Phase Costs'!$I$9+'Phase Costs'!$E$10*MAX(0,MIN(E$6,'Phase Costs'!$C$10)-MAX(EOMONTH(E$6,-1)+1,'Phase Costs'!$B$10)+1)/'Phase Costs'!$I$10+'Phase Costs'!$E$11*MAX(0,MIN(E$6,'Phase Costs'!$C$11)-MAX(EOMONTH(E$6,-1)+1,'Phase Costs'!$B$11)+1)/'Phase Costs'!$I$11</x:f>
        <x:v>0.10038461805555556</x:v>
      </x:c>
      <x:c r="F10" s="78" t="n">
        <x:f>'Phase Costs'!$E$6*MAX(0,MIN(F$6,'Phase Costs'!$C$6)-MAX(EOMONTH(F$6,-1)+1,'Phase Costs'!$B$6)+1)/'Phase Costs'!$I$6+'Phase Costs'!$E$7*MAX(0,MIN(F$6,'Phase Costs'!$C$7)-MAX(EOMONTH(F$6,-1)+1,'Phase Costs'!$B$7)+1)/'Phase Costs'!$I$7+'Phase Costs'!$E$8*MAX(0,MIN(F$6,'Phase Costs'!$C$8)-MAX(EOMONTH(F$6,-1)+1,'Phase Costs'!$B$8)+1)/'Phase Costs'!$I$8+'Phase Costs'!$E$9*MAX(0,MIN(F$6,'Phase Costs'!$C$9)-MAX(EOMONTH(F$6,-1)+1,'Phase Costs'!$B$9)+1)/'Phase Costs'!$I$9+'Phase Costs'!$E$10*MAX(0,MIN(F$6,'Phase Costs'!$C$10)-MAX(EOMONTH(F$6,-1)+1,'Phase Costs'!$B$10)+1)/'Phase Costs'!$I$10+'Phase Costs'!$E$11*MAX(0,MIN(F$6,'Phase Costs'!$C$11)-MAX(EOMONTH(F$6,-1)+1,'Phase Costs'!$B$11)+1)/'Phase Costs'!$I$11</x:f>
        <x:v>0.3214814814814815</x:v>
      </x:c>
      <x:c r="G10" s="78" t="n">
        <x:f>'Phase Costs'!$E$6*MAX(0,MIN(G$6,'Phase Costs'!$C$6)-MAX(EOMONTH(G$6,-1)+1,'Phase Costs'!$B$6)+1)/'Phase Costs'!$I$6+'Phase Costs'!$E$7*MAX(0,MIN(G$6,'Phase Costs'!$C$7)-MAX(EOMONTH(G$6,-1)+1,'Phase Costs'!$B$7)+1)/'Phase Costs'!$I$7+'Phase Costs'!$E$8*MAX(0,MIN(G$6,'Phase Costs'!$C$8)-MAX(EOMONTH(G$6,-1)+1,'Phase Costs'!$B$8)+1)/'Phase Costs'!$I$8+'Phase Costs'!$E$9*MAX(0,MIN(G$6,'Phase Costs'!$C$9)-MAX(EOMONTH(G$6,-1)+1,'Phase Costs'!$B$9)+1)/'Phase Costs'!$I$9+'Phase Costs'!$E$10*MAX(0,MIN(G$6,'Phase Costs'!$C$10)-MAX(EOMONTH(G$6,-1)+1,'Phase Costs'!$B$10)+1)/'Phase Costs'!$I$10+'Phase Costs'!$E$11*MAX(0,MIN(G$6,'Phase Costs'!$C$11)-MAX(EOMONTH(G$6,-1)+1,'Phase Costs'!$B$11)+1)/'Phase Costs'!$I$11</x:f>
        <x:v>0.2985185185185185</x:v>
      </x:c>
      <x:c r="H10" s="78" t="n">
        <x:f>'Phase Costs'!$E$6*MAX(0,MIN(H$6,'Phase Costs'!$C$6)-MAX(EOMONTH(H$6,-1)+1,'Phase Costs'!$B$6)+1)/'Phase Costs'!$I$6+'Phase Costs'!$E$7*MAX(0,MIN(H$6,'Phase Costs'!$C$7)-MAX(EOMONTH(H$6,-1)+1,'Phase Costs'!$B$7)+1)/'Phase Costs'!$I$7+'Phase Costs'!$E$8*MAX(0,MIN(H$6,'Phase Costs'!$C$8)-MAX(EOMONTH(H$6,-1)+1,'Phase Costs'!$B$8)+1)/'Phase Costs'!$I$8+'Phase Costs'!$E$9*MAX(0,MIN(H$6,'Phase Costs'!$C$9)-MAX(EOMONTH(H$6,-1)+1,'Phase Costs'!$B$9)+1)/'Phase Costs'!$I$9+'Phase Costs'!$E$10*MAX(0,MIN(H$6,'Phase Costs'!$C$10)-MAX(EOMONTH(H$6,-1)+1,'Phase Costs'!$B$10)+1)/'Phase Costs'!$I$10+'Phase Costs'!$E$11*MAX(0,MIN(H$6,'Phase Costs'!$C$11)-MAX(EOMONTH(H$6,-1)+1,'Phase Costs'!$B$11)+1)/'Phase Costs'!$I$11</x:f>
        <x:v>0.13380342592592592</x:v>
      </x:c>
      <x:c r="I10" s="78" t="n">
        <x:f>'Phase Costs'!$E$6*MAX(0,MIN(I$6,'Phase Costs'!$C$6)-MAX(EOMONTH(I$6,-1)+1,'Phase Costs'!$B$6)+1)/'Phase Costs'!$I$6+'Phase Costs'!$E$7*MAX(0,MIN(I$6,'Phase Costs'!$C$7)-MAX(EOMONTH(I$6,-1)+1,'Phase Costs'!$B$7)+1)/'Phase Costs'!$I$7+'Phase Costs'!$E$8*MAX(0,MIN(I$6,'Phase Costs'!$C$8)-MAX(EOMONTH(I$6,-1)+1,'Phase Costs'!$B$8)+1)/'Phase Costs'!$I$8+'Phase Costs'!$E$9*MAX(0,MIN(I$6,'Phase Costs'!$C$9)-MAX(EOMONTH(I$6,-1)+1,'Phase Costs'!$B$9)+1)/'Phase Costs'!$I$9+'Phase Costs'!$E$10*MAX(0,MIN(I$6,'Phase Costs'!$C$10)-MAX(EOMONTH(I$6,-1)+1,'Phase Costs'!$B$10)+1)/'Phase Costs'!$I$10+'Phase Costs'!$E$11*MAX(0,MIN(I$6,'Phase Costs'!$C$11)-MAX(EOMONTH(I$6,-1)+1,'Phase Costs'!$B$11)+1)/'Phase Costs'!$I$11</x:f>
        <x:v>0.1294871875</x:v>
      </x:c>
      <x:c r="J10" s="78" t="n">
        <x:f>'Phase Costs'!$E$6*MAX(0,MIN(J$6,'Phase Costs'!$C$6)-MAX(EOMONTH(J$6,-1)+1,'Phase Costs'!$B$6)+1)/'Phase Costs'!$I$6+'Phase Costs'!$E$7*MAX(0,MIN(J$6,'Phase Costs'!$C$7)-MAX(EOMONTH(J$6,-1)+1,'Phase Costs'!$B$7)+1)/'Phase Costs'!$I$7+'Phase Costs'!$E$8*MAX(0,MIN(J$6,'Phase Costs'!$C$8)-MAX(EOMONTH(J$6,-1)+1,'Phase Costs'!$B$8)+1)/'Phase Costs'!$I$8+'Phase Costs'!$E$9*MAX(0,MIN(J$6,'Phase Costs'!$C$9)-MAX(EOMONTH(J$6,-1)+1,'Phase Costs'!$B$9)+1)/'Phase Costs'!$I$9+'Phase Costs'!$E$10*MAX(0,MIN(J$6,'Phase Costs'!$C$10)-MAX(EOMONTH(J$6,-1)+1,'Phase Costs'!$B$10)+1)/'Phase Costs'!$I$10+'Phase Costs'!$E$11*MAX(0,MIN(J$6,'Phase Costs'!$C$11)-MAX(EOMONTH(J$6,-1)+1,'Phase Costs'!$B$11)+1)/'Phase Costs'!$I$11</x:f>
        <x:v>0.13380342592592592</x:v>
      </x:c>
      <x:c r="K10" s="78" t="n">
        <x:f>'Phase Costs'!$E$6*MAX(0,MIN(K$6,'Phase Costs'!$C$6)-MAX(EOMONTH(K$6,-1)+1,'Phase Costs'!$B$6)+1)/'Phase Costs'!$I$6+'Phase Costs'!$E$7*MAX(0,MIN(K$6,'Phase Costs'!$C$7)-MAX(EOMONTH(K$6,-1)+1,'Phase Costs'!$B$7)+1)/'Phase Costs'!$I$7+'Phase Costs'!$E$8*MAX(0,MIN(K$6,'Phase Costs'!$C$8)-MAX(EOMONTH(K$6,-1)+1,'Phase Costs'!$B$8)+1)/'Phase Costs'!$I$8+'Phase Costs'!$E$9*MAX(0,MIN(K$6,'Phase Costs'!$C$9)-MAX(EOMONTH(K$6,-1)+1,'Phase Costs'!$B$9)+1)/'Phase Costs'!$I$9+'Phase Costs'!$E$10*MAX(0,MIN(K$6,'Phase Costs'!$C$10)-MAX(EOMONTH(K$6,-1)+1,'Phase Costs'!$B$10)+1)/'Phase Costs'!$I$10+'Phase Costs'!$E$11*MAX(0,MIN(K$6,'Phase Costs'!$C$11)-MAX(EOMONTH(K$6,-1)+1,'Phase Costs'!$B$11)+1)/'Phase Costs'!$I$11</x:f>
        <x:v>0.1479059837962963</x:v>
      </x:c>
      <x:c r="L10" s="78" t="n">
        <x:f>'Phase Costs'!$E$6*MAX(0,MIN(L$6,'Phase Costs'!$C$6)-MAX(EOMONTH(L$6,-1)+1,'Phase Costs'!$B$6)+1)/'Phase Costs'!$I$6+'Phase Costs'!$E$7*MAX(0,MIN(L$6,'Phase Costs'!$C$7)-MAX(EOMONTH(L$6,-1)+1,'Phase Costs'!$B$7)+1)/'Phase Costs'!$I$7+'Phase Costs'!$E$8*MAX(0,MIN(L$6,'Phase Costs'!$C$8)-MAX(EOMONTH(L$6,-1)+1,'Phase Costs'!$B$8)+1)/'Phase Costs'!$I$8+'Phase Costs'!$E$9*MAX(0,MIN(L$6,'Phase Costs'!$C$9)-MAX(EOMONTH(L$6,-1)+1,'Phase Costs'!$B$9)+1)/'Phase Costs'!$I$9+'Phase Costs'!$E$10*MAX(0,MIN(L$6,'Phase Costs'!$C$10)-MAX(EOMONTH(L$6,-1)+1,'Phase Costs'!$B$10)+1)/'Phase Costs'!$I$10+'Phase Costs'!$E$11*MAX(0,MIN(L$6,'Phase Costs'!$C$11)-MAX(EOMONTH(L$6,-1)+1,'Phase Costs'!$B$11)+1)/'Phase Costs'!$I$11</x:f>
        <x:v>0</x:v>
      </x:c>
      <x:c r="M10" s="78" t="n">
        <x:f>'Phase Costs'!$E$6*MAX(0,MIN(M$6,'Phase Costs'!$C$6)-MAX(EOMONTH(M$6,-1)+1,'Phase Costs'!$B$6)+1)/'Phase Costs'!$I$6+'Phase Costs'!$E$7*MAX(0,MIN(M$6,'Phase Costs'!$C$7)-MAX(EOMONTH(M$6,-1)+1,'Phase Costs'!$B$7)+1)/'Phase Costs'!$I$7+'Phase Costs'!$E$8*MAX(0,MIN(M$6,'Phase Costs'!$C$8)-MAX(EOMONTH(M$6,-1)+1,'Phase Costs'!$B$8)+1)/'Phase Costs'!$I$8+'Phase Costs'!$E$9*MAX(0,MIN(M$6,'Phase Costs'!$C$9)-MAX(EOMONTH(M$6,-1)+1,'Phase Costs'!$B$9)+1)/'Phase Costs'!$I$9+'Phase Costs'!$E$10*MAX(0,MIN(M$6,'Phase Costs'!$C$10)-MAX(EOMONTH(M$6,-1)+1,'Phase Costs'!$B$10)+1)/'Phase Costs'!$I$10+'Phase Costs'!$E$11*MAX(0,MIN(M$6,'Phase Costs'!$C$11)-MAX(EOMONTH(M$6,-1)+1,'Phase Costs'!$B$11)+1)/'Phase Costs'!$I$11</x:f>
        <x:v>0</x:v>
      </x:c>
      <x:c r="N10" s="78" t="n">
        <x:f>'Phase Costs'!$E$6*MAX(0,MIN(N$6,'Phase Costs'!$C$6)-MAX(EOMONTH(N$6,-1)+1,'Phase Costs'!$B$6)+1)/'Phase Costs'!$I$6+'Phase Costs'!$E$7*MAX(0,MIN(N$6,'Phase Costs'!$C$7)-MAX(EOMONTH(N$6,-1)+1,'Phase Costs'!$B$7)+1)/'Phase Costs'!$I$7+'Phase Costs'!$E$8*MAX(0,MIN(N$6,'Phase Costs'!$C$8)-MAX(EOMONTH(N$6,-1)+1,'Phase Costs'!$B$8)+1)/'Phase Costs'!$I$8+'Phase Costs'!$E$9*MAX(0,MIN(N$6,'Phase Costs'!$C$9)-MAX(EOMONTH(N$6,-1)+1,'Phase Costs'!$B$9)+1)/'Phase Costs'!$I$9+'Phase Costs'!$E$10*MAX(0,MIN(N$6,'Phase Costs'!$C$10)-MAX(EOMONTH(N$6,-1)+1,'Phase Costs'!$B$10)+1)/'Phase Costs'!$I$10+'Phase Costs'!$E$11*MAX(0,MIN(N$6,'Phase Costs'!$C$11)-MAX(EOMONTH(N$6,-1)+1,'Phase Costs'!$B$11)+1)/'Phase Costs'!$I$11</x:f>
        <x:v>0</x:v>
      </x:c>
      <x:c r="O10" s="78" t="n">
        <x:f>'Phase Costs'!$E$6*MAX(0,MIN(O$6,'Phase Costs'!$C$6)-MAX(EOMONTH(O$6,-1)+1,'Phase Costs'!$B$6)+1)/'Phase Costs'!$I$6+'Phase Costs'!$E$7*MAX(0,MIN(O$6,'Phase Costs'!$C$7)-MAX(EOMONTH(O$6,-1)+1,'Phase Costs'!$B$7)+1)/'Phase Costs'!$I$7+'Phase Costs'!$E$8*MAX(0,MIN(O$6,'Phase Costs'!$C$8)-MAX(EOMONTH(O$6,-1)+1,'Phase Costs'!$B$8)+1)/'Phase Costs'!$I$8+'Phase Costs'!$E$9*MAX(0,MIN(O$6,'Phase Costs'!$C$9)-MAX(EOMONTH(O$6,-1)+1,'Phase Costs'!$B$9)+1)/'Phase Costs'!$I$9+'Phase Costs'!$E$10*MAX(0,MIN(O$6,'Phase Costs'!$C$10)-MAX(EOMONTH(O$6,-1)+1,'Phase Costs'!$B$10)+1)/'Phase Costs'!$I$10+'Phase Costs'!$E$11*MAX(0,MIN(O$6,'Phase Costs'!$C$11)-MAX(EOMONTH(O$6,-1)+1,'Phase Costs'!$B$11)+1)/'Phase Costs'!$I$11</x:f>
        <x:v>0</x:v>
      </x:c>
      <x:c r="P10" s="78" t="n">
        <x:f>'Phase Costs'!$E$6*MAX(0,MIN(P$6,'Phase Costs'!$C$6)-MAX(EOMONTH(P$6,-1)+1,'Phase Costs'!$B$6)+1)/'Phase Costs'!$I$6+'Phase Costs'!$E$7*MAX(0,MIN(P$6,'Phase Costs'!$C$7)-MAX(EOMONTH(P$6,-1)+1,'Phase Costs'!$B$7)+1)/'Phase Costs'!$I$7+'Phase Costs'!$E$8*MAX(0,MIN(P$6,'Phase Costs'!$C$8)-MAX(EOMONTH(P$6,-1)+1,'Phase Costs'!$B$8)+1)/'Phase Costs'!$I$8+'Phase Costs'!$E$9*MAX(0,MIN(P$6,'Phase Costs'!$C$9)-MAX(EOMONTH(P$6,-1)+1,'Phase Costs'!$B$9)+1)/'Phase Costs'!$I$9+'Phase Costs'!$E$10*MAX(0,MIN(P$6,'Phase Costs'!$C$10)-MAX(EOMONTH(P$6,-1)+1,'Phase Costs'!$B$10)+1)/'Phase Costs'!$I$10+'Phase Costs'!$E$11*MAX(0,MIN(P$6,'Phase Costs'!$C$11)-MAX(EOMONTH(P$6,-1)+1,'Phase Costs'!$B$11)+1)/'Phase Costs'!$I$11</x:f>
        <x:v>0</x:v>
      </x:c>
      <x:c r="Q10" s="78" t="n">
        <x:f>'Phase Costs'!$E$6*MAX(0,MIN(Q$6,'Phase Costs'!$C$6)-MAX(EOMONTH(Q$6,-1)+1,'Phase Costs'!$B$6)+1)/'Phase Costs'!$I$6+'Phase Costs'!$E$7*MAX(0,MIN(Q$6,'Phase Costs'!$C$7)-MAX(EOMONTH(Q$6,-1)+1,'Phase Costs'!$B$7)+1)/'Phase Costs'!$I$7+'Phase Costs'!$E$8*MAX(0,MIN(Q$6,'Phase Costs'!$C$8)-MAX(EOMONTH(Q$6,-1)+1,'Phase Costs'!$B$8)+1)/'Phase Costs'!$I$8+'Phase Costs'!$E$9*MAX(0,MIN(Q$6,'Phase Costs'!$C$9)-MAX(EOMONTH(Q$6,-1)+1,'Phase Costs'!$B$9)+1)/'Phase Costs'!$I$9+'Phase Costs'!$E$10*MAX(0,MIN(Q$6,'Phase Costs'!$C$10)-MAX(EOMONTH(Q$6,-1)+1,'Phase Costs'!$B$10)+1)/'Phase Costs'!$I$10+'Phase Costs'!$E$11*MAX(0,MIN(Q$6,'Phase Costs'!$C$11)-MAX(EOMONTH(Q$6,-1)+1,'Phase Costs'!$B$11)+1)/'Phase Costs'!$I$11</x:f>
        <x:v>0</x:v>
      </x:c>
      <x:c r="R10" s="78" t="n">
        <x:f>'Phase Costs'!$E$6*MAX(0,MIN(R$6,'Phase Costs'!$C$6)-MAX(EOMONTH(R$6,-1)+1,'Phase Costs'!$B$6)+1)/'Phase Costs'!$I$6+'Phase Costs'!$E$7*MAX(0,MIN(R$6,'Phase Costs'!$C$7)-MAX(EOMONTH(R$6,-1)+1,'Phase Costs'!$B$7)+1)/'Phase Costs'!$I$7+'Phase Costs'!$E$8*MAX(0,MIN(R$6,'Phase Costs'!$C$8)-MAX(EOMONTH(R$6,-1)+1,'Phase Costs'!$B$8)+1)/'Phase Costs'!$I$8+'Phase Costs'!$E$9*MAX(0,MIN(R$6,'Phase Costs'!$C$9)-MAX(EOMONTH(R$6,-1)+1,'Phase Costs'!$B$9)+1)/'Phase Costs'!$I$9+'Phase Costs'!$E$10*MAX(0,MIN(R$6,'Phase Costs'!$C$10)-MAX(EOMONTH(R$6,-1)+1,'Phase Costs'!$B$10)+1)/'Phase Costs'!$I$10+'Phase Costs'!$E$11*MAX(0,MIN(R$6,'Phase Costs'!$C$11)-MAX(EOMONTH(R$6,-1)+1,'Phase Costs'!$B$11)+1)/'Phase Costs'!$I$11</x:f>
        <x:v>0</x:v>
      </x:c>
      <x:c r="S10" s="78" t="n">
        <x:f>'Phase Costs'!$E$6*MAX(0,MIN(S$6,'Phase Costs'!$C$6)-MAX(EOMONTH(S$6,-1)+1,'Phase Costs'!$B$6)+1)/'Phase Costs'!$I$6+'Phase Costs'!$E$7*MAX(0,MIN(S$6,'Phase Costs'!$C$7)-MAX(EOMONTH(S$6,-1)+1,'Phase Costs'!$B$7)+1)/'Phase Costs'!$I$7+'Phase Costs'!$E$8*MAX(0,MIN(S$6,'Phase Costs'!$C$8)-MAX(EOMONTH(S$6,-1)+1,'Phase Costs'!$B$8)+1)/'Phase Costs'!$I$8+'Phase Costs'!$E$9*MAX(0,MIN(S$6,'Phase Costs'!$C$9)-MAX(EOMONTH(S$6,-1)+1,'Phase Costs'!$B$9)+1)/'Phase Costs'!$I$9+'Phase Costs'!$E$10*MAX(0,MIN(S$6,'Phase Costs'!$C$10)-MAX(EOMONTH(S$6,-1)+1,'Phase Costs'!$B$10)+1)/'Phase Costs'!$I$10+'Phase Costs'!$E$11*MAX(0,MIN(S$6,'Phase Costs'!$C$11)-MAX(EOMONTH(S$6,-1)+1,'Phase Costs'!$B$11)+1)/'Phase Costs'!$I$11</x:f>
        <x:v>0</x:v>
      </x:c>
      <x:c r="T10" s="78" t="n">
        <x:f>'Phase Costs'!$E$6*MAX(0,MIN(T$6,'Phase Costs'!$C$6)-MAX(EOMONTH(T$6,-1)+1,'Phase Costs'!$B$6)+1)/'Phase Costs'!$I$6+'Phase Costs'!$E$7*MAX(0,MIN(T$6,'Phase Costs'!$C$7)-MAX(EOMONTH(T$6,-1)+1,'Phase Costs'!$B$7)+1)/'Phase Costs'!$I$7+'Phase Costs'!$E$8*MAX(0,MIN(T$6,'Phase Costs'!$C$8)-MAX(EOMONTH(T$6,-1)+1,'Phase Costs'!$B$8)+1)/'Phase Costs'!$I$8+'Phase Costs'!$E$9*MAX(0,MIN(T$6,'Phase Costs'!$C$9)-MAX(EOMONTH(T$6,-1)+1,'Phase Costs'!$B$9)+1)/'Phase Costs'!$I$9+'Phase Costs'!$E$10*MAX(0,MIN(T$6,'Phase Costs'!$C$10)-MAX(EOMONTH(T$6,-1)+1,'Phase Costs'!$B$10)+1)/'Phase Costs'!$I$10+'Phase Costs'!$E$11*MAX(0,MIN(T$6,'Phase Costs'!$C$11)-MAX(EOMONTH(T$6,-1)+1,'Phase Costs'!$B$11)+1)/'Phase Costs'!$I$11</x:f>
        <x:v>0</x:v>
      </x:c>
      <x:c r="U10" s="78" t="n">
        <x:f>'Phase Costs'!$E$6*MAX(0,MIN(U$6,'Phase Costs'!$C$6)-MAX(EOMONTH(U$6,-1)+1,'Phase Costs'!$B$6)+1)/'Phase Costs'!$I$6+'Phase Costs'!$E$7*MAX(0,MIN(U$6,'Phase Costs'!$C$7)-MAX(EOMONTH(U$6,-1)+1,'Phase Costs'!$B$7)+1)/'Phase Costs'!$I$7+'Phase Costs'!$E$8*MAX(0,MIN(U$6,'Phase Costs'!$C$8)-MAX(EOMONTH(U$6,-1)+1,'Phase Costs'!$B$8)+1)/'Phase Costs'!$I$8+'Phase Costs'!$E$9*MAX(0,MIN(U$6,'Phase Costs'!$C$9)-MAX(EOMONTH(U$6,-1)+1,'Phase Costs'!$B$9)+1)/'Phase Costs'!$I$9+'Phase Costs'!$E$10*MAX(0,MIN(U$6,'Phase Costs'!$C$10)-MAX(EOMONTH(U$6,-1)+1,'Phase Costs'!$B$10)+1)/'Phase Costs'!$I$10+'Phase Costs'!$E$11*MAX(0,MIN(U$6,'Phase Costs'!$C$11)-MAX(EOMONTH(U$6,-1)+1,'Phase Costs'!$B$11)+1)/'Phase Costs'!$I$11</x:f>
        <x:v>0</x:v>
      </x:c>
      <x:c r="V10" s="78" t="n">
        <x:f>'Phase Costs'!$E$6*MAX(0,MIN(V$6,'Phase Costs'!$C$6)-MAX(EOMONTH(V$6,-1)+1,'Phase Costs'!$B$6)+1)/'Phase Costs'!$I$6+'Phase Costs'!$E$7*MAX(0,MIN(V$6,'Phase Costs'!$C$7)-MAX(EOMONTH(V$6,-1)+1,'Phase Costs'!$B$7)+1)/'Phase Costs'!$I$7+'Phase Costs'!$E$8*MAX(0,MIN(V$6,'Phase Costs'!$C$8)-MAX(EOMONTH(V$6,-1)+1,'Phase Costs'!$B$8)+1)/'Phase Costs'!$I$8+'Phase Costs'!$E$9*MAX(0,MIN(V$6,'Phase Costs'!$C$9)-MAX(EOMONTH(V$6,-1)+1,'Phase Costs'!$B$9)+1)/'Phase Costs'!$I$9+'Phase Costs'!$E$10*MAX(0,MIN(V$6,'Phase Costs'!$C$10)-MAX(EOMONTH(V$6,-1)+1,'Phase Costs'!$B$10)+1)/'Phase Costs'!$I$10+'Phase Costs'!$E$11*MAX(0,MIN(V$6,'Phase Costs'!$C$11)-MAX(EOMONTH(V$6,-1)+1,'Phase Costs'!$B$11)+1)/'Phase Costs'!$I$11</x:f>
        <x:v>0</x:v>
      </x:c>
      <x:c r="W10" s="78" t="n">
        <x:f>'Phase Costs'!$E$6*MAX(0,MIN(W$6,'Phase Costs'!$C$6)-MAX(EOMONTH(W$6,-1)+1,'Phase Costs'!$B$6)+1)/'Phase Costs'!$I$6+'Phase Costs'!$E$7*MAX(0,MIN(W$6,'Phase Costs'!$C$7)-MAX(EOMONTH(W$6,-1)+1,'Phase Costs'!$B$7)+1)/'Phase Costs'!$I$7+'Phase Costs'!$E$8*MAX(0,MIN(W$6,'Phase Costs'!$C$8)-MAX(EOMONTH(W$6,-1)+1,'Phase Costs'!$B$8)+1)/'Phase Costs'!$I$8+'Phase Costs'!$E$9*MAX(0,MIN(W$6,'Phase Costs'!$C$9)-MAX(EOMONTH(W$6,-1)+1,'Phase Costs'!$B$9)+1)/'Phase Costs'!$I$9+'Phase Costs'!$E$10*MAX(0,MIN(W$6,'Phase Costs'!$C$10)-MAX(EOMONTH(W$6,-1)+1,'Phase Costs'!$B$10)+1)/'Phase Costs'!$I$10+'Phase Costs'!$E$11*MAX(0,MIN(W$6,'Phase Costs'!$C$11)-MAX(EOMONTH(W$6,-1)+1,'Phase Costs'!$B$11)+1)/'Phase Costs'!$I$11</x:f>
        <x:v>0</x:v>
      </x:c>
      <x:c r="X10" s="78" t="n">
        <x:f>'Phase Costs'!$E$6*MAX(0,MIN(X$6,'Phase Costs'!$C$6)-MAX(EOMONTH(X$6,-1)+1,'Phase Costs'!$B$6)+1)/'Phase Costs'!$I$6+'Phase Costs'!$E$7*MAX(0,MIN(X$6,'Phase Costs'!$C$7)-MAX(EOMONTH(X$6,-1)+1,'Phase Costs'!$B$7)+1)/'Phase Costs'!$I$7+'Phase Costs'!$E$8*MAX(0,MIN(X$6,'Phase Costs'!$C$8)-MAX(EOMONTH(X$6,-1)+1,'Phase Costs'!$B$8)+1)/'Phase Costs'!$I$8+'Phase Costs'!$E$9*MAX(0,MIN(X$6,'Phase Costs'!$C$9)-MAX(EOMONTH(X$6,-1)+1,'Phase Costs'!$B$9)+1)/'Phase Costs'!$I$9+'Phase Costs'!$E$10*MAX(0,MIN(X$6,'Phase Costs'!$C$10)-MAX(EOMONTH(X$6,-1)+1,'Phase Costs'!$B$10)+1)/'Phase Costs'!$I$10+'Phase Costs'!$E$11*MAX(0,MIN(X$6,'Phase Costs'!$C$11)-MAX(EOMONTH(X$6,-1)+1,'Phase Costs'!$B$11)+1)/'Phase Costs'!$I$11</x:f>
        <x:v>0</x:v>
      </x:c>
      <x:c r="Y10" s="78" t="n">
        <x:f>'Phase Costs'!$E$6*MAX(0,MIN(Y$6,'Phase Costs'!$C$6)-MAX(EOMONTH(Y$6,-1)+1,'Phase Costs'!$B$6)+1)/'Phase Costs'!$I$6+'Phase Costs'!$E$7*MAX(0,MIN(Y$6,'Phase Costs'!$C$7)-MAX(EOMONTH(Y$6,-1)+1,'Phase Costs'!$B$7)+1)/'Phase Costs'!$I$7+'Phase Costs'!$E$8*MAX(0,MIN(Y$6,'Phase Costs'!$C$8)-MAX(EOMONTH(Y$6,-1)+1,'Phase Costs'!$B$8)+1)/'Phase Costs'!$I$8+'Phase Costs'!$E$9*MAX(0,MIN(Y$6,'Phase Costs'!$C$9)-MAX(EOMONTH(Y$6,-1)+1,'Phase Costs'!$B$9)+1)/'Phase Costs'!$I$9+'Phase Costs'!$E$10*MAX(0,MIN(Y$6,'Phase Costs'!$C$10)-MAX(EOMONTH(Y$6,-1)+1,'Phase Costs'!$B$10)+1)/'Phase Costs'!$I$10+'Phase Costs'!$E$11*MAX(0,MIN(Y$6,'Phase Costs'!$C$11)-MAX(EOMONTH(Y$6,-1)+1,'Phase Costs'!$B$11)+1)/'Phase Costs'!$I$11</x:f>
        <x:v>0</x:v>
      </x:c>
      <x:c r="Z10" s="78" t="n">
        <x:f>'Phase Costs'!$E$6*MAX(0,MIN(Z$6,'Phase Costs'!$C$6)-MAX(EOMONTH(Z$6,-1)+1,'Phase Costs'!$B$6)+1)/'Phase Costs'!$I$6+'Phase Costs'!$E$7*MAX(0,MIN(Z$6,'Phase Costs'!$C$7)-MAX(EOMONTH(Z$6,-1)+1,'Phase Costs'!$B$7)+1)/'Phase Costs'!$I$7+'Phase Costs'!$E$8*MAX(0,MIN(Z$6,'Phase Costs'!$C$8)-MAX(EOMONTH(Z$6,-1)+1,'Phase Costs'!$B$8)+1)/'Phase Costs'!$I$8+'Phase Costs'!$E$9*MAX(0,MIN(Z$6,'Phase Costs'!$C$9)-MAX(EOMONTH(Z$6,-1)+1,'Phase Costs'!$B$9)+1)/'Phase Costs'!$I$9+'Phase Costs'!$E$10*MAX(0,MIN(Z$6,'Phase Costs'!$C$10)-MAX(EOMONTH(Z$6,-1)+1,'Phase Costs'!$B$10)+1)/'Phase Costs'!$I$10+'Phase Costs'!$E$11*MAX(0,MIN(Z$6,'Phase Costs'!$C$11)-MAX(EOMONTH(Z$6,-1)+1,'Phase Costs'!$B$11)+1)/'Phase Costs'!$I$11</x:f>
        <x:v>0</x:v>
      </x:c>
      <x:c r="AA10" s="78" t="n">
        <x:f>'Phase Costs'!$E$6*MAX(0,MIN(AA$6,'Phase Costs'!$C$6)-MAX(EOMONTH(AA$6,-1)+1,'Phase Costs'!$B$6)+1)/'Phase Costs'!$I$6+'Phase Costs'!$E$7*MAX(0,MIN(AA$6,'Phase Costs'!$C$7)-MAX(EOMONTH(AA$6,-1)+1,'Phase Costs'!$B$7)+1)/'Phase Costs'!$I$7+'Phase Costs'!$E$8*MAX(0,MIN(AA$6,'Phase Costs'!$C$8)-MAX(EOMONTH(AA$6,-1)+1,'Phase Costs'!$B$8)+1)/'Phase Costs'!$I$8+'Phase Costs'!$E$9*MAX(0,MIN(AA$6,'Phase Costs'!$C$9)-MAX(EOMONTH(AA$6,-1)+1,'Phase Costs'!$B$9)+1)/'Phase Costs'!$I$9+'Phase Costs'!$E$10*MAX(0,MIN(AA$6,'Phase Costs'!$C$10)-MAX(EOMONTH(AA$6,-1)+1,'Phase Costs'!$B$10)+1)/'Phase Costs'!$I$10+'Phase Costs'!$E$11*MAX(0,MIN(AA$6,'Phase Costs'!$C$11)-MAX(EOMONTH(AA$6,-1)+1,'Phase Costs'!$B$11)+1)/'Phase Costs'!$I$11</x:f>
        <x:v>0</x:v>
      </x:c>
      <x:c r="AB10" s="78" t="n">
        <x:f>'Phase Costs'!$E$6*MAX(0,MIN(AB$6,'Phase Costs'!$C$6)-MAX(EOMONTH(AB$6,-1)+1,'Phase Costs'!$B$6)+1)/'Phase Costs'!$I$6+'Phase Costs'!$E$7*MAX(0,MIN(AB$6,'Phase Costs'!$C$7)-MAX(EOMONTH(AB$6,-1)+1,'Phase Costs'!$B$7)+1)/'Phase Costs'!$I$7+'Phase Costs'!$E$8*MAX(0,MIN(AB$6,'Phase Costs'!$C$8)-MAX(EOMONTH(AB$6,-1)+1,'Phase Costs'!$B$8)+1)/'Phase Costs'!$I$8+'Phase Costs'!$E$9*MAX(0,MIN(AB$6,'Phase Costs'!$C$9)-MAX(EOMONTH(AB$6,-1)+1,'Phase Costs'!$B$9)+1)/'Phase Costs'!$I$9+'Phase Costs'!$E$10*MAX(0,MIN(AB$6,'Phase Costs'!$C$10)-MAX(EOMONTH(AB$6,-1)+1,'Phase Costs'!$B$10)+1)/'Phase Costs'!$I$10+'Phase Costs'!$E$11*MAX(0,MIN(AB$6,'Phase Costs'!$C$11)-MAX(EOMONTH(AB$6,-1)+1,'Phase Costs'!$B$11)+1)/'Phase Costs'!$I$11</x:f>
        <x:v>0</x:v>
      </x:c>
      <x:c r="AC10" s="78" t="n">
        <x:f>'Phase Costs'!$E$6*MAX(0,MIN(AC$6,'Phase Costs'!$C$6)-MAX(EOMONTH(AC$6,-1)+1,'Phase Costs'!$B$6)+1)/'Phase Costs'!$I$6+'Phase Costs'!$E$7*MAX(0,MIN(AC$6,'Phase Costs'!$C$7)-MAX(EOMONTH(AC$6,-1)+1,'Phase Costs'!$B$7)+1)/'Phase Costs'!$I$7+'Phase Costs'!$E$8*MAX(0,MIN(AC$6,'Phase Costs'!$C$8)-MAX(EOMONTH(AC$6,-1)+1,'Phase Costs'!$B$8)+1)/'Phase Costs'!$I$8+'Phase Costs'!$E$9*MAX(0,MIN(AC$6,'Phase Costs'!$C$9)-MAX(EOMONTH(AC$6,-1)+1,'Phase Costs'!$B$9)+1)/'Phase Costs'!$I$9+'Phase Costs'!$E$10*MAX(0,MIN(AC$6,'Phase Costs'!$C$10)-MAX(EOMONTH(AC$6,-1)+1,'Phase Costs'!$B$10)+1)/'Phase Costs'!$I$10+'Phase Costs'!$E$11*MAX(0,MIN(AC$6,'Phase Costs'!$C$11)-MAX(EOMONTH(AC$6,-1)+1,'Phase Costs'!$B$11)+1)/'Phase Costs'!$I$11</x:f>
        <x:v>0</x:v>
      </x:c>
      <x:c r="AD10" s="78" t="n">
        <x:f>'Phase Costs'!$E$6*MAX(0,MIN(AD$6,'Phase Costs'!$C$6)-MAX(EOMONTH(AD$6,-1)+1,'Phase Costs'!$B$6)+1)/'Phase Costs'!$I$6+'Phase Costs'!$E$7*MAX(0,MIN(AD$6,'Phase Costs'!$C$7)-MAX(EOMONTH(AD$6,-1)+1,'Phase Costs'!$B$7)+1)/'Phase Costs'!$I$7+'Phase Costs'!$E$8*MAX(0,MIN(AD$6,'Phase Costs'!$C$8)-MAX(EOMONTH(AD$6,-1)+1,'Phase Costs'!$B$8)+1)/'Phase Costs'!$I$8+'Phase Costs'!$E$9*MAX(0,MIN(AD$6,'Phase Costs'!$C$9)-MAX(EOMONTH(AD$6,-1)+1,'Phase Costs'!$B$9)+1)/'Phase Costs'!$I$9+'Phase Costs'!$E$10*MAX(0,MIN(AD$6,'Phase Costs'!$C$10)-MAX(EOMONTH(AD$6,-1)+1,'Phase Costs'!$B$10)+1)/'Phase Costs'!$I$10+'Phase Costs'!$E$11*MAX(0,MIN(AD$6,'Phase Costs'!$C$11)-MAX(EOMONTH(AD$6,-1)+1,'Phase Costs'!$B$11)+1)/'Phase Costs'!$I$11</x:f>
        <x:v>0</x:v>
      </x:c>
      <x:c r="AE10" s="78" t="n">
        <x:f>'Phase Costs'!$E$6*MAX(0,MIN(AE$6,'Phase Costs'!$C$6)-MAX(EOMONTH(AE$6,-1)+1,'Phase Costs'!$B$6)+1)/'Phase Costs'!$I$6+'Phase Costs'!$E$7*MAX(0,MIN(AE$6,'Phase Costs'!$C$7)-MAX(EOMONTH(AE$6,-1)+1,'Phase Costs'!$B$7)+1)/'Phase Costs'!$I$7+'Phase Costs'!$E$8*MAX(0,MIN(AE$6,'Phase Costs'!$C$8)-MAX(EOMONTH(AE$6,-1)+1,'Phase Costs'!$B$8)+1)/'Phase Costs'!$I$8+'Phase Costs'!$E$9*MAX(0,MIN(AE$6,'Phase Costs'!$C$9)-MAX(EOMONTH(AE$6,-1)+1,'Phase Costs'!$B$9)+1)/'Phase Costs'!$I$9+'Phase Costs'!$E$10*MAX(0,MIN(AE$6,'Phase Costs'!$C$10)-MAX(EOMONTH(AE$6,-1)+1,'Phase Costs'!$B$10)+1)/'Phase Costs'!$I$10+'Phase Costs'!$E$11*MAX(0,MIN(AE$6,'Phase Costs'!$C$11)-MAX(EOMONTH(AE$6,-1)+1,'Phase Costs'!$B$11)+1)/'Phase Costs'!$I$11</x:f>
        <x:v>0</x:v>
      </x:c>
      <x:c r="AF10" s="78" t="n">
        <x:f>'Phase Costs'!$E$6*MAX(0,MIN(AF$6,'Phase Costs'!$C$6)-MAX(EOMONTH(AF$6,-1)+1,'Phase Costs'!$B$6)+1)/'Phase Costs'!$I$6+'Phase Costs'!$E$7*MAX(0,MIN(AF$6,'Phase Costs'!$C$7)-MAX(EOMONTH(AF$6,-1)+1,'Phase Costs'!$B$7)+1)/'Phase Costs'!$I$7+'Phase Costs'!$E$8*MAX(0,MIN(AF$6,'Phase Costs'!$C$8)-MAX(EOMONTH(AF$6,-1)+1,'Phase Costs'!$B$8)+1)/'Phase Costs'!$I$8+'Phase Costs'!$E$9*MAX(0,MIN(AF$6,'Phase Costs'!$C$9)-MAX(EOMONTH(AF$6,-1)+1,'Phase Costs'!$B$9)+1)/'Phase Costs'!$I$9+'Phase Costs'!$E$10*MAX(0,MIN(AF$6,'Phase Costs'!$C$10)-MAX(EOMONTH(AF$6,-1)+1,'Phase Costs'!$B$10)+1)/'Phase Costs'!$I$10+'Phase Costs'!$E$11*MAX(0,MIN(AF$6,'Phase Costs'!$C$11)-MAX(EOMONTH(AF$6,-1)+1,'Phase Costs'!$B$11)+1)/'Phase Costs'!$I$11</x:f>
        <x:v>0</x:v>
      </x:c>
      <x:c r="AG10" s="78" t="n">
        <x:f>'Phase Costs'!$E$6*MAX(0,MIN(AG$6,'Phase Costs'!$C$6)-MAX(EOMONTH(AG$6,-1)+1,'Phase Costs'!$B$6)+1)/'Phase Costs'!$I$6+'Phase Costs'!$E$7*MAX(0,MIN(AG$6,'Phase Costs'!$C$7)-MAX(EOMONTH(AG$6,-1)+1,'Phase Costs'!$B$7)+1)/'Phase Costs'!$I$7+'Phase Costs'!$E$8*MAX(0,MIN(AG$6,'Phase Costs'!$C$8)-MAX(EOMONTH(AG$6,-1)+1,'Phase Costs'!$B$8)+1)/'Phase Costs'!$I$8+'Phase Costs'!$E$9*MAX(0,MIN(AG$6,'Phase Costs'!$C$9)-MAX(EOMONTH(AG$6,-1)+1,'Phase Costs'!$B$9)+1)/'Phase Costs'!$I$9+'Phase Costs'!$E$10*MAX(0,MIN(AG$6,'Phase Costs'!$C$10)-MAX(EOMONTH(AG$6,-1)+1,'Phase Costs'!$B$10)+1)/'Phase Costs'!$I$10+'Phase Costs'!$E$11*MAX(0,MIN(AG$6,'Phase Costs'!$C$11)-MAX(EOMONTH(AG$6,-1)+1,'Phase Costs'!$B$11)+1)/'Phase Costs'!$I$11</x:f>
        <x:v>0</x:v>
      </x:c>
      <x:c r="AH10" s="78" t="n">
        <x:f>'Phase Costs'!$E$6*MAX(0,MIN(AH$6,'Phase Costs'!$C$6)-MAX(EOMONTH(AH$6,-1)+1,'Phase Costs'!$B$6)+1)/'Phase Costs'!$I$6+'Phase Costs'!$E$7*MAX(0,MIN(AH$6,'Phase Costs'!$C$7)-MAX(EOMONTH(AH$6,-1)+1,'Phase Costs'!$B$7)+1)/'Phase Costs'!$I$7+'Phase Costs'!$E$8*MAX(0,MIN(AH$6,'Phase Costs'!$C$8)-MAX(EOMONTH(AH$6,-1)+1,'Phase Costs'!$B$8)+1)/'Phase Costs'!$I$8+'Phase Costs'!$E$9*MAX(0,MIN(AH$6,'Phase Costs'!$C$9)-MAX(EOMONTH(AH$6,-1)+1,'Phase Costs'!$B$9)+1)/'Phase Costs'!$I$9+'Phase Costs'!$E$10*MAX(0,MIN(AH$6,'Phase Costs'!$C$10)-MAX(EOMONTH(AH$6,-1)+1,'Phase Costs'!$B$10)+1)/'Phase Costs'!$I$10+'Phase Costs'!$E$11*MAX(0,MIN(AH$6,'Phase Costs'!$C$11)-MAX(EOMONTH(AH$6,-1)+1,'Phase Costs'!$B$11)+1)/'Phase Costs'!$I$11</x:f>
        <x:v>0</x:v>
      </x:c>
      <x:c r="AI10" s="78" t="n">
        <x:f>'Phase Costs'!$E$6*MAX(0,MIN(AI$6,'Phase Costs'!$C$6)-MAX(EOMONTH(AI$6,-1)+1,'Phase Costs'!$B$6)+1)/'Phase Costs'!$I$6+'Phase Costs'!$E$7*MAX(0,MIN(AI$6,'Phase Costs'!$C$7)-MAX(EOMONTH(AI$6,-1)+1,'Phase Costs'!$B$7)+1)/'Phase Costs'!$I$7+'Phase Costs'!$E$8*MAX(0,MIN(AI$6,'Phase Costs'!$C$8)-MAX(EOMONTH(AI$6,-1)+1,'Phase Costs'!$B$8)+1)/'Phase Costs'!$I$8+'Phase Costs'!$E$9*MAX(0,MIN(AI$6,'Phase Costs'!$C$9)-MAX(EOMONTH(AI$6,-1)+1,'Phase Costs'!$B$9)+1)/'Phase Costs'!$I$9+'Phase Costs'!$E$10*MAX(0,MIN(AI$6,'Phase Costs'!$C$10)-MAX(EOMONTH(AI$6,-1)+1,'Phase Costs'!$B$10)+1)/'Phase Costs'!$I$10+'Phase Costs'!$E$11*MAX(0,MIN(AI$6,'Phase Costs'!$C$11)-MAX(EOMONTH(AI$6,-1)+1,'Phase Costs'!$B$11)+1)/'Phase Costs'!$I$11</x:f>
        <x:v>0</x:v>
      </x:c>
      <x:c r="AJ10" s="78" t="n">
        <x:f>'Phase Costs'!$E$6*MAX(0,MIN(AJ$6,'Phase Costs'!$C$6)-MAX(EOMONTH(AJ$6,-1)+1,'Phase Costs'!$B$6)+1)/'Phase Costs'!$I$6+'Phase Costs'!$E$7*MAX(0,MIN(AJ$6,'Phase Costs'!$C$7)-MAX(EOMONTH(AJ$6,-1)+1,'Phase Costs'!$B$7)+1)/'Phase Costs'!$I$7+'Phase Costs'!$E$8*MAX(0,MIN(AJ$6,'Phase Costs'!$C$8)-MAX(EOMONTH(AJ$6,-1)+1,'Phase Costs'!$B$8)+1)/'Phase Costs'!$I$8+'Phase Costs'!$E$9*MAX(0,MIN(AJ$6,'Phase Costs'!$C$9)-MAX(EOMONTH(AJ$6,-1)+1,'Phase Costs'!$B$9)+1)/'Phase Costs'!$I$9+'Phase Costs'!$E$10*MAX(0,MIN(AJ$6,'Phase Costs'!$C$10)-MAX(EOMONTH(AJ$6,-1)+1,'Phase Costs'!$B$10)+1)/'Phase Costs'!$I$10+'Phase Costs'!$E$11*MAX(0,MIN(AJ$6,'Phase Costs'!$C$11)-MAX(EOMONTH(AJ$6,-1)+1,'Phase Costs'!$B$11)+1)/'Phase Costs'!$I$11</x:f>
        <x:v>0</x:v>
      </x:c>
      <x:c r="AK10" s="78" t="n">
        <x:f>'Phase Costs'!$E$6*MAX(0,MIN(AK$6,'Phase Costs'!$C$6)-MAX(EOMONTH(AK$6,-1)+1,'Phase Costs'!$B$6)+1)/'Phase Costs'!$I$6+'Phase Costs'!$E$7*MAX(0,MIN(AK$6,'Phase Costs'!$C$7)-MAX(EOMONTH(AK$6,-1)+1,'Phase Costs'!$B$7)+1)/'Phase Costs'!$I$7+'Phase Costs'!$E$8*MAX(0,MIN(AK$6,'Phase Costs'!$C$8)-MAX(EOMONTH(AK$6,-1)+1,'Phase Costs'!$B$8)+1)/'Phase Costs'!$I$8+'Phase Costs'!$E$9*MAX(0,MIN(AK$6,'Phase Costs'!$C$9)-MAX(EOMONTH(AK$6,-1)+1,'Phase Costs'!$B$9)+1)/'Phase Costs'!$I$9+'Phase Costs'!$E$10*MAX(0,MIN(AK$6,'Phase Costs'!$C$10)-MAX(EOMONTH(AK$6,-1)+1,'Phase Costs'!$B$10)+1)/'Phase Costs'!$I$10+'Phase Costs'!$E$11*MAX(0,MIN(AK$6,'Phase Costs'!$C$11)-MAX(EOMONTH(AK$6,-1)+1,'Phase Costs'!$B$11)+1)/'Phase Costs'!$I$11</x:f>
        <x:v>0</x:v>
      </x:c>
      <x:c r="AL10" s="78" t="n">
        <x:f>'Phase Costs'!$E$6*MAX(0,MIN(AL$6,'Phase Costs'!$C$6)-MAX(EOMONTH(AL$6,-1)+1,'Phase Costs'!$B$6)+1)/'Phase Costs'!$I$6+'Phase Costs'!$E$7*MAX(0,MIN(AL$6,'Phase Costs'!$C$7)-MAX(EOMONTH(AL$6,-1)+1,'Phase Costs'!$B$7)+1)/'Phase Costs'!$I$7+'Phase Costs'!$E$8*MAX(0,MIN(AL$6,'Phase Costs'!$C$8)-MAX(EOMONTH(AL$6,-1)+1,'Phase Costs'!$B$8)+1)/'Phase Costs'!$I$8+'Phase Costs'!$E$9*MAX(0,MIN(AL$6,'Phase Costs'!$C$9)-MAX(EOMONTH(AL$6,-1)+1,'Phase Costs'!$B$9)+1)/'Phase Costs'!$I$9+'Phase Costs'!$E$10*MAX(0,MIN(AL$6,'Phase Costs'!$C$10)-MAX(EOMONTH(AL$6,-1)+1,'Phase Costs'!$B$10)+1)/'Phase Costs'!$I$10+'Phase Costs'!$E$11*MAX(0,MIN(AL$6,'Phase Costs'!$C$11)-MAX(EOMONTH(AL$6,-1)+1,'Phase Costs'!$B$11)+1)/'Phase Costs'!$I$11</x:f>
        <x:v>0</x:v>
      </x:c>
      <x:c r="AM10" s="78" t="n">
        <x:f>'Phase Costs'!$E$6*MAX(0,MIN(AM$6,'Phase Costs'!$C$6)-MAX(EOMONTH(AM$6,-1)+1,'Phase Costs'!$B$6)+1)/'Phase Costs'!$I$6+'Phase Costs'!$E$7*MAX(0,MIN(AM$6,'Phase Costs'!$C$7)-MAX(EOMONTH(AM$6,-1)+1,'Phase Costs'!$B$7)+1)/'Phase Costs'!$I$7+'Phase Costs'!$E$8*MAX(0,MIN(AM$6,'Phase Costs'!$C$8)-MAX(EOMONTH(AM$6,-1)+1,'Phase Costs'!$B$8)+1)/'Phase Costs'!$I$8+'Phase Costs'!$E$9*MAX(0,MIN(AM$6,'Phase Costs'!$C$9)-MAX(EOMONTH(AM$6,-1)+1,'Phase Costs'!$B$9)+1)/'Phase Costs'!$I$9+'Phase Costs'!$E$10*MAX(0,MIN(AM$6,'Phase Costs'!$C$10)-MAX(EOMONTH(AM$6,-1)+1,'Phase Costs'!$B$10)+1)/'Phase Costs'!$I$10+'Phase Costs'!$E$11*MAX(0,MIN(AM$6,'Phase Costs'!$C$11)-MAX(EOMONTH(AM$6,-1)+1,'Phase Costs'!$B$11)+1)/'Phase Costs'!$I$11</x:f>
        <x:v>0</x:v>
      </x:c>
      <x:c r="AN10" s="78" t="n">
        <x:f>'Phase Costs'!$E$6*MAX(0,MIN(AN$6,'Phase Costs'!$C$6)-MAX(EOMONTH(AN$6,-1)+1,'Phase Costs'!$B$6)+1)/'Phase Costs'!$I$6+'Phase Costs'!$E$7*MAX(0,MIN(AN$6,'Phase Costs'!$C$7)-MAX(EOMONTH(AN$6,-1)+1,'Phase Costs'!$B$7)+1)/'Phase Costs'!$I$7+'Phase Costs'!$E$8*MAX(0,MIN(AN$6,'Phase Costs'!$C$8)-MAX(EOMONTH(AN$6,-1)+1,'Phase Costs'!$B$8)+1)/'Phase Costs'!$I$8+'Phase Costs'!$E$9*MAX(0,MIN(AN$6,'Phase Costs'!$C$9)-MAX(EOMONTH(AN$6,-1)+1,'Phase Costs'!$B$9)+1)/'Phase Costs'!$I$9+'Phase Costs'!$E$10*MAX(0,MIN(AN$6,'Phase Costs'!$C$10)-MAX(EOMONTH(AN$6,-1)+1,'Phase Costs'!$B$10)+1)/'Phase Costs'!$I$10+'Phase Costs'!$E$11*MAX(0,MIN(AN$6,'Phase Costs'!$C$11)-MAX(EOMONTH(AN$6,-1)+1,'Phase Costs'!$B$11)+1)/'Phase Costs'!$I$11</x:f>
        <x:v>0</x:v>
      </x:c>
      <x:c r="AO10" s="78" t="n">
        <x:f>'Phase Costs'!$E$6*MAX(0,MIN(AO$6,'Phase Costs'!$C$6)-MAX(EOMONTH(AO$6,-1)+1,'Phase Costs'!$B$6)+1)/'Phase Costs'!$I$6+'Phase Costs'!$E$7*MAX(0,MIN(AO$6,'Phase Costs'!$C$7)-MAX(EOMONTH(AO$6,-1)+1,'Phase Costs'!$B$7)+1)/'Phase Costs'!$I$7+'Phase Costs'!$E$8*MAX(0,MIN(AO$6,'Phase Costs'!$C$8)-MAX(EOMONTH(AO$6,-1)+1,'Phase Costs'!$B$8)+1)/'Phase Costs'!$I$8+'Phase Costs'!$E$9*MAX(0,MIN(AO$6,'Phase Costs'!$C$9)-MAX(EOMONTH(AO$6,-1)+1,'Phase Costs'!$B$9)+1)/'Phase Costs'!$I$9+'Phase Costs'!$E$10*MAX(0,MIN(AO$6,'Phase Costs'!$C$10)-MAX(EOMONTH(AO$6,-1)+1,'Phase Costs'!$B$10)+1)/'Phase Costs'!$I$10+'Phase Costs'!$E$11*MAX(0,MIN(AO$6,'Phase Costs'!$C$11)-MAX(EOMONTH(AO$6,-1)+1,'Phase Costs'!$B$11)+1)/'Phase Costs'!$I$11</x:f>
        <x:v>0</x:v>
      </x:c>
      <x:c r="AP10" s="78" t="n">
        <x:f>'Phase Costs'!$E$6*MAX(0,MIN(AP$6,'Phase Costs'!$C$6)-MAX(EOMONTH(AP$6,-1)+1,'Phase Costs'!$B$6)+1)/'Phase Costs'!$I$6+'Phase Costs'!$E$7*MAX(0,MIN(AP$6,'Phase Costs'!$C$7)-MAX(EOMONTH(AP$6,-1)+1,'Phase Costs'!$B$7)+1)/'Phase Costs'!$I$7+'Phase Costs'!$E$8*MAX(0,MIN(AP$6,'Phase Costs'!$C$8)-MAX(EOMONTH(AP$6,-1)+1,'Phase Costs'!$B$8)+1)/'Phase Costs'!$I$8+'Phase Costs'!$E$9*MAX(0,MIN(AP$6,'Phase Costs'!$C$9)-MAX(EOMONTH(AP$6,-1)+1,'Phase Costs'!$B$9)+1)/'Phase Costs'!$I$9+'Phase Costs'!$E$10*MAX(0,MIN(AP$6,'Phase Costs'!$C$10)-MAX(EOMONTH(AP$6,-1)+1,'Phase Costs'!$B$10)+1)/'Phase Costs'!$I$10+'Phase Costs'!$E$11*MAX(0,MIN(AP$6,'Phase Costs'!$C$11)-MAX(EOMONTH(AP$6,-1)+1,'Phase Costs'!$B$11)+1)/'Phase Costs'!$I$11</x:f>
        <x:v>0</x:v>
      </x:c>
      <x:c r="AQ10" s="78" t="n">
        <x:f>'Phase Costs'!$E$6*MAX(0,MIN(AQ$6,'Phase Costs'!$C$6)-MAX(EOMONTH(AQ$6,-1)+1,'Phase Costs'!$B$6)+1)/'Phase Costs'!$I$6+'Phase Costs'!$E$7*MAX(0,MIN(AQ$6,'Phase Costs'!$C$7)-MAX(EOMONTH(AQ$6,-1)+1,'Phase Costs'!$B$7)+1)/'Phase Costs'!$I$7+'Phase Costs'!$E$8*MAX(0,MIN(AQ$6,'Phase Costs'!$C$8)-MAX(EOMONTH(AQ$6,-1)+1,'Phase Costs'!$B$8)+1)/'Phase Costs'!$I$8+'Phase Costs'!$E$9*MAX(0,MIN(AQ$6,'Phase Costs'!$C$9)-MAX(EOMONTH(AQ$6,-1)+1,'Phase Costs'!$B$9)+1)/'Phase Costs'!$I$9+'Phase Costs'!$E$10*MAX(0,MIN(AQ$6,'Phase Costs'!$C$10)-MAX(EOMONTH(AQ$6,-1)+1,'Phase Costs'!$B$10)+1)/'Phase Costs'!$I$10+'Phase Costs'!$E$11*MAX(0,MIN(AQ$6,'Phase Costs'!$C$11)-MAX(EOMONTH(AQ$6,-1)+1,'Phase Costs'!$B$11)+1)/'Phase Costs'!$I$11</x:f>
        <x:v>0</x:v>
      </x:c>
      <x:c r="AR10" s="78" t="n">
        <x:f>'Phase Costs'!$E$6*MAX(0,MIN(AR$6,'Phase Costs'!$C$6)-MAX(EOMONTH(AR$6,-1)+1,'Phase Costs'!$B$6)+1)/'Phase Costs'!$I$6+'Phase Costs'!$E$7*MAX(0,MIN(AR$6,'Phase Costs'!$C$7)-MAX(EOMONTH(AR$6,-1)+1,'Phase Costs'!$B$7)+1)/'Phase Costs'!$I$7+'Phase Costs'!$E$8*MAX(0,MIN(AR$6,'Phase Costs'!$C$8)-MAX(EOMONTH(AR$6,-1)+1,'Phase Costs'!$B$8)+1)/'Phase Costs'!$I$8+'Phase Costs'!$E$9*MAX(0,MIN(AR$6,'Phase Costs'!$C$9)-MAX(EOMONTH(AR$6,-1)+1,'Phase Costs'!$B$9)+1)/'Phase Costs'!$I$9+'Phase Costs'!$E$10*MAX(0,MIN(AR$6,'Phase Costs'!$C$10)-MAX(EOMONTH(AR$6,-1)+1,'Phase Costs'!$B$10)+1)/'Phase Costs'!$I$10+'Phase Costs'!$E$11*MAX(0,MIN(AR$6,'Phase Costs'!$C$11)-MAX(EOMONTH(AR$6,-1)+1,'Phase Costs'!$B$11)+1)/'Phase Costs'!$I$11</x:f>
        <x:v>0</x:v>
      </x:c>
      <x:c r="AS10" s="78" t="n">
        <x:f>'Phase Costs'!$E$6*MAX(0,MIN(AS$6,'Phase Costs'!$C$6)-MAX(EOMONTH(AS$6,-1)+1,'Phase Costs'!$B$6)+1)/'Phase Costs'!$I$6+'Phase Costs'!$E$7*MAX(0,MIN(AS$6,'Phase Costs'!$C$7)-MAX(EOMONTH(AS$6,-1)+1,'Phase Costs'!$B$7)+1)/'Phase Costs'!$I$7+'Phase Costs'!$E$8*MAX(0,MIN(AS$6,'Phase Costs'!$C$8)-MAX(EOMONTH(AS$6,-1)+1,'Phase Costs'!$B$8)+1)/'Phase Costs'!$I$8+'Phase Costs'!$E$9*MAX(0,MIN(AS$6,'Phase Costs'!$C$9)-MAX(EOMONTH(AS$6,-1)+1,'Phase Costs'!$B$9)+1)/'Phase Costs'!$I$9+'Phase Costs'!$E$10*MAX(0,MIN(AS$6,'Phase Costs'!$C$10)-MAX(EOMONTH(AS$6,-1)+1,'Phase Costs'!$B$10)+1)/'Phase Costs'!$I$10+'Phase Costs'!$E$11*MAX(0,MIN(AS$6,'Phase Costs'!$C$11)-MAX(EOMONTH(AS$6,-1)+1,'Phase Costs'!$B$11)+1)/'Phase Costs'!$I$11</x:f>
        <x:v>0</x:v>
      </x:c>
      <x:c r="AT10" s="78" t="n">
        <x:f>'Phase Costs'!$E$6*MAX(0,MIN(AT$6,'Phase Costs'!$C$6)-MAX(EOMONTH(AT$6,-1)+1,'Phase Costs'!$B$6)+1)/'Phase Costs'!$I$6+'Phase Costs'!$E$7*MAX(0,MIN(AT$6,'Phase Costs'!$C$7)-MAX(EOMONTH(AT$6,-1)+1,'Phase Costs'!$B$7)+1)/'Phase Costs'!$I$7+'Phase Costs'!$E$8*MAX(0,MIN(AT$6,'Phase Costs'!$C$8)-MAX(EOMONTH(AT$6,-1)+1,'Phase Costs'!$B$8)+1)/'Phase Costs'!$I$8+'Phase Costs'!$E$9*MAX(0,MIN(AT$6,'Phase Costs'!$C$9)-MAX(EOMONTH(AT$6,-1)+1,'Phase Costs'!$B$9)+1)/'Phase Costs'!$I$9+'Phase Costs'!$E$10*MAX(0,MIN(AT$6,'Phase Costs'!$C$10)-MAX(EOMONTH(AT$6,-1)+1,'Phase Costs'!$B$10)+1)/'Phase Costs'!$I$10+'Phase Costs'!$E$11*MAX(0,MIN(AT$6,'Phase Costs'!$C$11)-MAX(EOMONTH(AT$6,-1)+1,'Phase Costs'!$B$11)+1)/'Phase Costs'!$I$11</x:f>
        <x:v>0</x:v>
      </x:c>
      <x:c r="AU10" s="78" t="n">
        <x:f>'Phase Costs'!$E$6*MAX(0,MIN(AU$6,'Phase Costs'!$C$6)-MAX(EOMONTH(AU$6,-1)+1,'Phase Costs'!$B$6)+1)/'Phase Costs'!$I$6+'Phase Costs'!$E$7*MAX(0,MIN(AU$6,'Phase Costs'!$C$7)-MAX(EOMONTH(AU$6,-1)+1,'Phase Costs'!$B$7)+1)/'Phase Costs'!$I$7+'Phase Costs'!$E$8*MAX(0,MIN(AU$6,'Phase Costs'!$C$8)-MAX(EOMONTH(AU$6,-1)+1,'Phase Costs'!$B$8)+1)/'Phase Costs'!$I$8+'Phase Costs'!$E$9*MAX(0,MIN(AU$6,'Phase Costs'!$C$9)-MAX(EOMONTH(AU$6,-1)+1,'Phase Costs'!$B$9)+1)/'Phase Costs'!$I$9+'Phase Costs'!$E$10*MAX(0,MIN(AU$6,'Phase Costs'!$C$10)-MAX(EOMONTH(AU$6,-1)+1,'Phase Costs'!$B$10)+1)/'Phase Costs'!$I$10+'Phase Costs'!$E$11*MAX(0,MIN(AU$6,'Phase Costs'!$C$11)-MAX(EOMONTH(AU$6,-1)+1,'Phase Costs'!$B$11)+1)/'Phase Costs'!$I$11</x:f>
        <x:v>0</x:v>
      </x:c>
    </x:row>
    <x:row r="11">
      <x:c r="A11" s="76" t="str">
        <x:v>Implementation cash cost</x:v>
      </x:c>
      <x:c r="B11" s="77" t="n">
        <x:v>0</x:v>
      </x:c>
      <x:c r="C11" s="77" t="n">
        <x:f>SUM(C9:C10)</x:f>
        <x:v>0.11615385416666667</x:v>
      </x:c>
      <x:c r="D11" s="77" t="n">
        <x:f>SUM(D9:D10)</x:f>
        <x:v>0.28046153935185186</x:v>
      </x:c>
      <x:c r="E11" s="77" t="n">
        <x:f>SUM(E9:E10)</x:f>
        <x:v>0.18638461805555556</x:v>
      </x:c>
      <x:c r="F11" s="77" t="n">
        <x:f>SUM(F9:F10)</x:f>
        <x:v>0.3784814814814815</x:v>
      </x:c>
      <x:c r="G11" s="77" t="n">
        <x:f>SUM(G9:G10)</x:f>
        <x:v>0.33051851851851854</x:v>
      </x:c>
      <x:c r="H11" s="77" t="n">
        <x:f>SUM(H9:H10)</x:f>
        <x:v>0.20430342592592593</x:v>
      </x:c>
      <x:c r="I11" s="77" t="n">
        <x:f>SUM(I9:I10)</x:f>
        <x:v>0.1594871875</x:v>
      </x:c>
      <x:c r="J11" s="77" t="n">
        <x:f>SUM(J9:J10)</x:f>
        <x:v>0.13380342592592592</x:v>
      </x:c>
      <x:c r="K11" s="77" t="n">
        <x:f>SUM(K9:K10)</x:f>
        <x:v>0.1479059837962963</x:v>
      </x:c>
      <x:c r="L11" s="77" t="n">
        <x:f>SUM(L9:L10)</x:f>
        <x:v>0.0625</x:v>
      </x:c>
      <x:c r="M11" s="77" t="n">
        <x:f>SUM(M9:M10)</x:f>
        <x:v>0</x:v>
      </x:c>
      <x:c r="N11" s="77" t="n">
        <x:f>SUM(N9:N10)</x:f>
        <x:v>0</x:v>
      </x:c>
      <x:c r="O11" s="77" t="n">
        <x:f>SUM(O9:O10)</x:f>
        <x:v>0</x:v>
      </x:c>
      <x:c r="P11" s="77" t="n">
        <x:f>SUM(P9:P10)</x:f>
        <x:v>0</x:v>
      </x:c>
      <x:c r="Q11" s="77" t="n">
        <x:f>SUM(Q9:Q10)</x:f>
        <x:v>0</x:v>
      </x:c>
      <x:c r="R11" s="77" t="n">
        <x:f>SUM(R9:R10)</x:f>
        <x:v>0</x:v>
      </x:c>
      <x:c r="S11" s="77" t="n">
        <x:f>SUM(S9:S10)</x:f>
        <x:v>0</x:v>
      </x:c>
      <x:c r="T11" s="77" t="n">
        <x:f>SUM(T9:T10)</x:f>
        <x:v>0</x:v>
      </x:c>
      <x:c r="U11" s="77" t="n">
        <x:f>SUM(U9:U10)</x:f>
        <x:v>0</x:v>
      </x:c>
      <x:c r="V11" s="77" t="n">
        <x:f>SUM(V9:V10)</x:f>
        <x:v>0</x:v>
      </x:c>
      <x:c r="W11" s="77" t="n">
        <x:f>SUM(W9:W10)</x:f>
        <x:v>0</x:v>
      </x:c>
      <x:c r="X11" s="77" t="n">
        <x:f>SUM(X9:X10)</x:f>
        <x:v>0</x:v>
      </x:c>
      <x:c r="Y11" s="77" t="n">
        <x:f>SUM(Y9:Y10)</x:f>
        <x:v>0</x:v>
      </x:c>
      <x:c r="Z11" s="77" t="n">
        <x:f>SUM(Z9:Z10)</x:f>
        <x:v>0</x:v>
      </x:c>
      <x:c r="AA11" s="77" t="n">
        <x:f>SUM(AA9:AA10)</x:f>
        <x:v>0</x:v>
      </x:c>
      <x:c r="AB11" s="77" t="n">
        <x:f>SUM(AB9:AB10)</x:f>
        <x:v>0</x:v>
      </x:c>
      <x:c r="AC11" s="77" t="n">
        <x:f>SUM(AC9:AC10)</x:f>
        <x:v>0</x:v>
      </x:c>
      <x:c r="AD11" s="77" t="n">
        <x:f>SUM(AD9:AD10)</x:f>
        <x:v>0</x:v>
      </x:c>
      <x:c r="AE11" s="77" t="n">
        <x:f>SUM(AE9:AE10)</x:f>
        <x:v>0</x:v>
      </x:c>
      <x:c r="AF11" s="77" t="n">
        <x:f>SUM(AF9:AF10)</x:f>
        <x:v>0</x:v>
      </x:c>
      <x:c r="AG11" s="77" t="n">
        <x:f>SUM(AG9:AG10)</x:f>
        <x:v>0</x:v>
      </x:c>
      <x:c r="AH11" s="77" t="n">
        <x:f>SUM(AH9:AH10)</x:f>
        <x:v>0</x:v>
      </x:c>
      <x:c r="AI11" s="77" t="n">
        <x:f>SUM(AI9:AI10)</x:f>
        <x:v>0</x:v>
      </x:c>
      <x:c r="AJ11" s="77" t="n">
        <x:f>SUM(AJ9:AJ10)</x:f>
        <x:v>0</x:v>
      </x:c>
      <x:c r="AK11" s="77" t="n">
        <x:f>SUM(AK9:AK10)</x:f>
        <x:v>0</x:v>
      </x:c>
      <x:c r="AL11" s="77" t="n">
        <x:f>SUM(AL9:AL10)</x:f>
        <x:v>0</x:v>
      </x:c>
      <x:c r="AM11" s="77" t="n">
        <x:f>SUM(AM9:AM10)</x:f>
        <x:v>0</x:v>
      </x:c>
      <x:c r="AN11" s="77" t="n">
        <x:f>SUM(AN9:AN10)</x:f>
        <x:v>0</x:v>
      </x:c>
      <x:c r="AO11" s="77" t="n">
        <x:f>SUM(AO9:AO10)</x:f>
        <x:v>0</x:v>
      </x:c>
      <x:c r="AP11" s="77" t="n">
        <x:f>SUM(AP9:AP10)</x:f>
        <x:v>0</x:v>
      </x:c>
      <x:c r="AQ11" s="77" t="n">
        <x:f>SUM(AQ9:AQ10)</x:f>
        <x:v>0</x:v>
      </x:c>
      <x:c r="AR11" s="77" t="n">
        <x:f>SUM(AR9:AR10)</x:f>
        <x:v>0</x:v>
      </x:c>
      <x:c r="AS11" s="77" t="n">
        <x:f>SUM(AS9:AS10)</x:f>
        <x:v>0</x:v>
      </x:c>
      <x:c r="AT11" s="77" t="n">
        <x:f>SUM(AT9:AT10)</x:f>
        <x:v>0</x:v>
      </x:c>
      <x:c r="AU11" s="77" t="n">
        <x:f>SUM(AU9:AU10)</x:f>
        <x:v>0</x:v>
      </x:c>
    </x:row>
    <x:row r="12">
      <x:c r="A12" s="15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  <x:c r="U12" s="74"/>
      <x:c r="V12" s="74"/>
      <x:c r="W12" s="74"/>
      <x:c r="X12" s="74"/>
      <x:c r="Y12" s="74"/>
      <x:c r="Z12" s="74"/>
      <x:c r="AA12" s="74"/>
      <x:c r="AB12" s="74"/>
      <x:c r="AC12" s="74"/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74"/>
      <x:c r="AO12" s="74"/>
      <x:c r="AP12" s="74"/>
      <x:c r="AQ12" s="74"/>
      <x:c r="AR12" s="74"/>
      <x:c r="AS12" s="74"/>
      <x:c r="AT12" s="74"/>
      <x:c r="AU12" s="74"/>
    </x:row>
    <x:row r="13">
      <x:c r="A13" s="15" t="str">
        <x:v>Retention run-rate (NZ$m/year)</x:v>
      </x:c>
      <x:c r="B13" s="74"/>
      <x:c r="C13" s="78" t="n">
        <x:f>'CBA Scenarios'!H14</x:f>
        <x:v>0.8985964172813488</x:v>
      </x:c>
      <x:c r="D13" s="78" t="n">
        <x:f>'CBA Scenarios'!H14</x:f>
        <x:v>0.8985964172813488</x:v>
      </x:c>
      <x:c r="E13" s="78" t="n">
        <x:f>'CBA Scenarios'!H14</x:f>
        <x:v>0.8985964172813488</x:v>
      </x:c>
      <x:c r="F13" s="78" t="n">
        <x:f>'CBA Scenarios'!H14</x:f>
        <x:v>0.8985964172813488</x:v>
      </x:c>
      <x:c r="G13" s="78" t="n">
        <x:f>'CBA Scenarios'!H14</x:f>
        <x:v>0.8985964172813488</x:v>
      </x:c>
      <x:c r="H13" s="78" t="n">
        <x:f>'CBA Scenarios'!H14</x:f>
        <x:v>0.8985964172813488</x:v>
      </x:c>
      <x:c r="I13" s="78" t="n">
        <x:f>'CBA Scenarios'!H14</x:f>
        <x:v>0.8985964172813488</x:v>
      </x:c>
      <x:c r="J13" s="78" t="n">
        <x:f>'CBA Scenarios'!H14</x:f>
        <x:v>0.8985964172813488</x:v>
      </x:c>
      <x:c r="K13" s="78" t="n">
        <x:f>'CBA Scenarios'!H14</x:f>
        <x:v>0.8985964172813488</x:v>
      </x:c>
      <x:c r="L13" s="78" t="n">
        <x:f>'CBA Scenarios'!H14</x:f>
        <x:v>0.8985964172813488</x:v>
      </x:c>
      <x:c r="M13" s="78" t="n">
        <x:f>'CBA Scenarios'!H14</x:f>
        <x:v>0.8985964172813488</x:v>
      </x:c>
      <x:c r="N13" s="78" t="n">
        <x:f>'CBA Scenarios'!H14</x:f>
        <x:v>0.8985964172813488</x:v>
      </x:c>
      <x:c r="O13" s="78" t="n">
        <x:f>'CBA Scenarios'!H14</x:f>
        <x:v>0.8985964172813488</x:v>
      </x:c>
      <x:c r="P13" s="78" t="n">
        <x:f>'CBA Scenarios'!H14</x:f>
        <x:v>0.8985964172813488</x:v>
      </x:c>
      <x:c r="Q13" s="78" t="n">
        <x:f>'CBA Scenarios'!H14</x:f>
        <x:v>0.8985964172813488</x:v>
      </x:c>
      <x:c r="R13" s="78" t="n">
        <x:f>'CBA Scenarios'!H14</x:f>
        <x:v>0.8985964172813488</x:v>
      </x:c>
      <x:c r="S13" s="78" t="n">
        <x:f>'CBA Scenarios'!H14</x:f>
        <x:v>0.8985964172813488</x:v>
      </x:c>
      <x:c r="T13" s="78" t="n">
        <x:f>'CBA Scenarios'!H14</x:f>
        <x:v>0.8985964172813488</x:v>
      </x:c>
      <x:c r="U13" s="78" t="n">
        <x:f>'CBA Scenarios'!H14</x:f>
        <x:v>0.8985964172813488</x:v>
      </x:c>
      <x:c r="V13" s="78" t="n">
        <x:f>'CBA Scenarios'!H14</x:f>
        <x:v>0.8985964172813488</x:v>
      </x:c>
      <x:c r="W13" s="78" t="n">
        <x:f>'CBA Scenarios'!H14</x:f>
        <x:v>0.8985964172813488</x:v>
      </x:c>
      <x:c r="X13" s="78" t="n">
        <x:f>'CBA Scenarios'!H14</x:f>
        <x:v>0.8985964172813488</x:v>
      </x:c>
      <x:c r="Y13" s="78" t="n">
        <x:f>'CBA Scenarios'!H14</x:f>
        <x:v>0.8985964172813488</x:v>
      </x:c>
      <x:c r="Z13" s="78" t="n">
        <x:f>'CBA Scenarios'!H14</x:f>
        <x:v>0.8985964172813488</x:v>
      </x:c>
      <x:c r="AA13" s="78" t="n">
        <x:f>'CBA Scenarios'!H14</x:f>
        <x:v>0.8985964172813488</x:v>
      </x:c>
      <x:c r="AB13" s="78" t="n">
        <x:f>'CBA Scenarios'!H14</x:f>
        <x:v>0.8985964172813488</x:v>
      </x:c>
      <x:c r="AC13" s="78" t="n">
        <x:f>'CBA Scenarios'!H14</x:f>
        <x:v>0.8985964172813488</x:v>
      </x:c>
      <x:c r="AD13" s="78" t="n">
        <x:f>'CBA Scenarios'!H14</x:f>
        <x:v>0.8985964172813488</x:v>
      </x:c>
      <x:c r="AE13" s="78" t="n">
        <x:f>'CBA Scenarios'!H14</x:f>
        <x:v>0.8985964172813488</x:v>
      </x:c>
      <x:c r="AF13" s="78" t="n">
        <x:f>'CBA Scenarios'!H14</x:f>
        <x:v>0.8985964172813488</x:v>
      </x:c>
      <x:c r="AG13" s="78" t="n">
        <x:f>'CBA Scenarios'!H14</x:f>
        <x:v>0.8985964172813488</x:v>
      </x:c>
      <x:c r="AH13" s="78" t="n">
        <x:f>'CBA Scenarios'!H14</x:f>
        <x:v>0.8985964172813488</x:v>
      </x:c>
      <x:c r="AI13" s="78" t="n">
        <x:f>'CBA Scenarios'!H14</x:f>
        <x:v>0.8985964172813488</x:v>
      </x:c>
      <x:c r="AJ13" s="78" t="n">
        <x:f>'CBA Scenarios'!H14</x:f>
        <x:v>0.8985964172813488</x:v>
      </x:c>
      <x:c r="AK13" s="78" t="n">
        <x:f>'CBA Scenarios'!H14</x:f>
        <x:v>0.8985964172813488</x:v>
      </x:c>
      <x:c r="AL13" s="78" t="n">
        <x:f>'CBA Scenarios'!H14</x:f>
        <x:v>0.8985964172813488</x:v>
      </x:c>
      <x:c r="AM13" s="78" t="n">
        <x:f>'CBA Scenarios'!H14</x:f>
        <x:v>0.8985964172813488</x:v>
      </x:c>
      <x:c r="AN13" s="78" t="n">
        <x:f>'CBA Scenarios'!H14</x:f>
        <x:v>0.8985964172813488</x:v>
      </x:c>
      <x:c r="AO13" s="78" t="n">
        <x:f>'CBA Scenarios'!H14</x:f>
        <x:v>0.8985964172813488</x:v>
      </x:c>
      <x:c r="AP13" s="78" t="n">
        <x:f>'CBA Scenarios'!H14</x:f>
        <x:v>0.8985964172813488</x:v>
      </x:c>
      <x:c r="AQ13" s="78" t="n">
        <x:f>'CBA Scenarios'!H14</x:f>
        <x:v>0.8985964172813488</x:v>
      </x:c>
      <x:c r="AR13" s="78" t="n">
        <x:f>'CBA Scenarios'!H14</x:f>
        <x:v>0.8985964172813488</x:v>
      </x:c>
      <x:c r="AS13" s="78" t="n">
        <x:f>'CBA Scenarios'!H14</x:f>
        <x:v>0.8985964172813488</x:v>
      </x:c>
      <x:c r="AT13" s="78" t="n">
        <x:f>'CBA Scenarios'!H14</x:f>
        <x:v>0.8985964172813488</x:v>
      </x:c>
      <x:c r="AU13" s="78" t="n">
        <x:f>'CBA Scenarios'!H14</x:f>
        <x:v>0.8985964172813488</x:v>
      </x:c>
    </x:row>
    <x:row r="14">
      <x:c r="A14" s="15" t="str">
        <x:v>Contact capacity (NZ$m/year)</x:v>
      </x:c>
      <x:c r="B14" s="74"/>
      <x:c r="C14" s="78" t="n">
        <x:f>'CBA Scenarios'!G14</x:f>
        <x:v>0.9</x:v>
      </x:c>
      <x:c r="D14" s="78" t="n">
        <x:f>'CBA Scenarios'!G14</x:f>
        <x:v>0.9</x:v>
      </x:c>
      <x:c r="E14" s="78" t="n">
        <x:f>'CBA Scenarios'!G14</x:f>
        <x:v>0.9</x:v>
      </x:c>
      <x:c r="F14" s="78" t="n">
        <x:f>'CBA Scenarios'!G14</x:f>
        <x:v>0.9</x:v>
      </x:c>
      <x:c r="G14" s="78" t="n">
        <x:f>'CBA Scenarios'!G14</x:f>
        <x:v>0.9</x:v>
      </x:c>
      <x:c r="H14" s="78" t="n">
        <x:f>'CBA Scenarios'!G14</x:f>
        <x:v>0.9</x:v>
      </x:c>
      <x:c r="I14" s="78" t="n">
        <x:f>'CBA Scenarios'!G14</x:f>
        <x:v>0.9</x:v>
      </x:c>
      <x:c r="J14" s="78" t="n">
        <x:f>'CBA Scenarios'!G14</x:f>
        <x:v>0.9</x:v>
      </x:c>
      <x:c r="K14" s="78" t="n">
        <x:f>'CBA Scenarios'!G14</x:f>
        <x:v>0.9</x:v>
      </x:c>
      <x:c r="L14" s="78" t="n">
        <x:f>'CBA Scenarios'!G14</x:f>
        <x:v>0.9</x:v>
      </x:c>
      <x:c r="M14" s="78" t="n">
        <x:f>'CBA Scenarios'!G14</x:f>
        <x:v>0.9</x:v>
      </x:c>
      <x:c r="N14" s="78" t="n">
        <x:f>'CBA Scenarios'!G14</x:f>
        <x:v>0.9</x:v>
      </x:c>
      <x:c r="O14" s="78" t="n">
        <x:f>'CBA Scenarios'!G14</x:f>
        <x:v>0.9</x:v>
      </x:c>
      <x:c r="P14" s="78" t="n">
        <x:f>'CBA Scenarios'!G14</x:f>
        <x:v>0.9</x:v>
      </x:c>
      <x:c r="Q14" s="78" t="n">
        <x:f>'CBA Scenarios'!G14</x:f>
        <x:v>0.9</x:v>
      </x:c>
      <x:c r="R14" s="78" t="n">
        <x:f>'CBA Scenarios'!G14</x:f>
        <x:v>0.9</x:v>
      </x:c>
      <x:c r="S14" s="78" t="n">
        <x:f>'CBA Scenarios'!G14</x:f>
        <x:v>0.9</x:v>
      </x:c>
      <x:c r="T14" s="78" t="n">
        <x:f>'CBA Scenarios'!G14</x:f>
        <x:v>0.9</x:v>
      </x:c>
      <x:c r="U14" s="78" t="n">
        <x:f>'CBA Scenarios'!G14</x:f>
        <x:v>0.9</x:v>
      </x:c>
      <x:c r="V14" s="78" t="n">
        <x:f>'CBA Scenarios'!G14</x:f>
        <x:v>0.9</x:v>
      </x:c>
      <x:c r="W14" s="78" t="n">
        <x:f>'CBA Scenarios'!G14</x:f>
        <x:v>0.9</x:v>
      </x:c>
      <x:c r="X14" s="78" t="n">
        <x:f>'CBA Scenarios'!G14</x:f>
        <x:v>0.9</x:v>
      </x:c>
      <x:c r="Y14" s="78" t="n">
        <x:f>'CBA Scenarios'!G14</x:f>
        <x:v>0.9</x:v>
      </x:c>
      <x:c r="Z14" s="78" t="n">
        <x:f>'CBA Scenarios'!G14</x:f>
        <x:v>0.9</x:v>
      </x:c>
      <x:c r="AA14" s="78" t="n">
        <x:f>'CBA Scenarios'!G14</x:f>
        <x:v>0.9</x:v>
      </x:c>
      <x:c r="AB14" s="78" t="n">
        <x:f>'CBA Scenarios'!G14</x:f>
        <x:v>0.9</x:v>
      </x:c>
      <x:c r="AC14" s="78" t="n">
        <x:f>'CBA Scenarios'!G14</x:f>
        <x:v>0.9</x:v>
      </x:c>
      <x:c r="AD14" s="78" t="n">
        <x:f>'CBA Scenarios'!G14</x:f>
        <x:v>0.9</x:v>
      </x:c>
      <x:c r="AE14" s="78" t="n">
        <x:f>'CBA Scenarios'!G14</x:f>
        <x:v>0.9</x:v>
      </x:c>
      <x:c r="AF14" s="78" t="n">
        <x:f>'CBA Scenarios'!G14</x:f>
        <x:v>0.9</x:v>
      </x:c>
      <x:c r="AG14" s="78" t="n">
        <x:f>'CBA Scenarios'!G14</x:f>
        <x:v>0.9</x:v>
      </x:c>
      <x:c r="AH14" s="78" t="n">
        <x:f>'CBA Scenarios'!G14</x:f>
        <x:v>0.9</x:v>
      </x:c>
      <x:c r="AI14" s="78" t="n">
        <x:f>'CBA Scenarios'!G14</x:f>
        <x:v>0.9</x:v>
      </x:c>
      <x:c r="AJ14" s="78" t="n">
        <x:f>'CBA Scenarios'!G14</x:f>
        <x:v>0.9</x:v>
      </x:c>
      <x:c r="AK14" s="78" t="n">
        <x:f>'CBA Scenarios'!G14</x:f>
        <x:v>0.9</x:v>
      </x:c>
      <x:c r="AL14" s="78" t="n">
        <x:f>'CBA Scenarios'!G14</x:f>
        <x:v>0.9</x:v>
      </x:c>
      <x:c r="AM14" s="78" t="n">
        <x:f>'CBA Scenarios'!G14</x:f>
        <x:v>0.9</x:v>
      </x:c>
      <x:c r="AN14" s="78" t="n">
        <x:f>'CBA Scenarios'!G14</x:f>
        <x:v>0.9</x:v>
      </x:c>
      <x:c r="AO14" s="78" t="n">
        <x:f>'CBA Scenarios'!G14</x:f>
        <x:v>0.9</x:v>
      </x:c>
      <x:c r="AP14" s="78" t="n">
        <x:f>'CBA Scenarios'!G14</x:f>
        <x:v>0.9</x:v>
      </x:c>
      <x:c r="AQ14" s="78" t="n">
        <x:f>'CBA Scenarios'!G14</x:f>
        <x:v>0.9</x:v>
      </x:c>
      <x:c r="AR14" s="78" t="n">
        <x:f>'CBA Scenarios'!G14</x:f>
        <x:v>0.9</x:v>
      </x:c>
      <x:c r="AS14" s="78" t="n">
        <x:f>'CBA Scenarios'!G14</x:f>
        <x:v>0.9</x:v>
      </x:c>
      <x:c r="AT14" s="78" t="n">
        <x:f>'CBA Scenarios'!G14</x:f>
        <x:v>0.9</x:v>
      </x:c>
      <x:c r="AU14" s="78" t="n">
        <x:f>'CBA Scenarios'!G14</x:f>
        <x:v>0.9</x:v>
      </x:c>
    </x:row>
    <x:row r="15">
      <x:c r="A15" s="15" t="str">
        <x:v>Operating cost (NZ$m/year)</x:v>
      </x:c>
      <x:c r="B15" s="74"/>
      <x:c r="C15" s="78" t="n">
        <x:f>0</x:f>
        <x:v>0</x:v>
      </x:c>
      <x:c r="D15" s="78" t="n">
        <x:f>0</x:f>
        <x:v>0</x:v>
      </x:c>
      <x:c r="E15" s="78" t="n">
        <x:f>0</x:f>
        <x:v>0</x:v>
      </x:c>
      <x:c r="F15" s="78" t="n">
        <x:f>0</x:f>
        <x:v>0</x:v>
      </x:c>
      <x:c r="G15" s="78" t="n">
        <x:f>0</x:f>
        <x:v>0</x:v>
      </x:c>
      <x:c r="H15" s="78" t="n">
        <x:f>0</x:f>
        <x:v>0</x:v>
      </x:c>
      <x:c r="I15" s="78" t="n">
        <x:f>0</x:f>
        <x:v>0</x:v>
      </x:c>
      <x:c r="J15" s="78" t="n">
        <x:f>0</x:f>
        <x:v>0</x:v>
      </x:c>
      <x:c r="K15" s="78" t="n">
        <x:f>0</x:f>
        <x:v>0</x:v>
      </x:c>
      <x:c r="L15" s="78" t="n">
        <x:f>'Assumptions'!$B$14</x:f>
        <x:v>0.65</x:v>
      </x:c>
      <x:c r="M15" s="78" t="n">
        <x:f>'Assumptions'!$B$14</x:f>
        <x:v>0.65</x:v>
      </x:c>
      <x:c r="N15" s="78" t="n">
        <x:f>'Assumptions'!$B$14</x:f>
        <x:v>0.65</x:v>
      </x:c>
      <x:c r="O15" s="78" t="n">
        <x:f>'Assumptions'!$B$14</x:f>
        <x:v>0.65</x:v>
      </x:c>
      <x:c r="P15" s="78" t="n">
        <x:f>'Assumptions'!$B$14</x:f>
        <x:v>0.65</x:v>
      </x:c>
      <x:c r="Q15" s="78" t="n">
        <x:f>'Assumptions'!$B$14</x:f>
        <x:v>0.65</x:v>
      </x:c>
      <x:c r="R15" s="78" t="n">
        <x:f>'Assumptions'!$B$14</x:f>
        <x:v>0.65</x:v>
      </x:c>
      <x:c r="S15" s="78" t="n">
        <x:f>'Assumptions'!$B$14</x:f>
        <x:v>0.65</x:v>
      </x:c>
      <x:c r="T15" s="78" t="n">
        <x:f>'Assumptions'!$B$14</x:f>
        <x:v>0.65</x:v>
      </x:c>
      <x:c r="U15" s="78" t="n">
        <x:f>'Assumptions'!$B$14</x:f>
        <x:v>0.65</x:v>
      </x:c>
      <x:c r="V15" s="78" t="n">
        <x:f>'Assumptions'!$B$14</x:f>
        <x:v>0.65</x:v>
      </x:c>
      <x:c r="W15" s="78" t="n">
        <x:f>'Assumptions'!$B$14</x:f>
        <x:v>0.65</x:v>
      </x:c>
      <x:c r="X15" s="78" t="n">
        <x:f>'Assumptions'!$B$14</x:f>
        <x:v>0.65</x:v>
      </x:c>
      <x:c r="Y15" s="78" t="n">
        <x:f>'Assumptions'!$B$14</x:f>
        <x:v>0.65</x:v>
      </x:c>
      <x:c r="Z15" s="78" t="n">
        <x:f>'Assumptions'!$B$14</x:f>
        <x:v>0.65</x:v>
      </x:c>
      <x:c r="AA15" s="78" t="n">
        <x:f>'Assumptions'!$B$14</x:f>
        <x:v>0.65</x:v>
      </x:c>
      <x:c r="AB15" s="78" t="n">
        <x:f>'Assumptions'!$B$14</x:f>
        <x:v>0.65</x:v>
      </x:c>
      <x:c r="AC15" s="78" t="n">
        <x:f>'Assumptions'!$B$14</x:f>
        <x:v>0.65</x:v>
      </x:c>
      <x:c r="AD15" s="78" t="n">
        <x:f>'Assumptions'!$B$14</x:f>
        <x:v>0.65</x:v>
      </x:c>
      <x:c r="AE15" s="78" t="n">
        <x:f>'Assumptions'!$B$14</x:f>
        <x:v>0.65</x:v>
      </x:c>
      <x:c r="AF15" s="78" t="n">
        <x:f>'Assumptions'!$B$14</x:f>
        <x:v>0.65</x:v>
      </x:c>
      <x:c r="AG15" s="78" t="n">
        <x:f>'Assumptions'!$B$14</x:f>
        <x:v>0.65</x:v>
      </x:c>
      <x:c r="AH15" s="78" t="n">
        <x:f>'Assumptions'!$B$14</x:f>
        <x:v>0.65</x:v>
      </x:c>
      <x:c r="AI15" s="78" t="n">
        <x:f>'Assumptions'!$B$14</x:f>
        <x:v>0.65</x:v>
      </x:c>
      <x:c r="AJ15" s="78" t="n">
        <x:f>'Assumptions'!$B$14</x:f>
        <x:v>0.65</x:v>
      </x:c>
      <x:c r="AK15" s="78" t="n">
        <x:f>'Assumptions'!$B$14</x:f>
        <x:v>0.65</x:v>
      </x:c>
      <x:c r="AL15" s="78" t="n">
        <x:f>'Assumptions'!$B$14</x:f>
        <x:v>0.65</x:v>
      </x:c>
      <x:c r="AM15" s="78" t="n">
        <x:f>'Assumptions'!$B$14</x:f>
        <x:v>0.65</x:v>
      </x:c>
      <x:c r="AN15" s="78" t="n">
        <x:f>'Assumptions'!$B$14</x:f>
        <x:v>0.65</x:v>
      </x:c>
      <x:c r="AO15" s="78" t="n">
        <x:f>'Assumptions'!$B$14</x:f>
        <x:v>0.65</x:v>
      </x:c>
      <x:c r="AP15" s="78" t="n">
        <x:f>'Assumptions'!$B$14</x:f>
        <x:v>0.65</x:v>
      </x:c>
      <x:c r="AQ15" s="78" t="n">
        <x:f>'Assumptions'!$B$14</x:f>
        <x:v>0.65</x:v>
      </x:c>
      <x:c r="AR15" s="78" t="n">
        <x:f>'Assumptions'!$B$14</x:f>
        <x:v>0.65</x:v>
      </x:c>
      <x:c r="AS15" s="78" t="n">
        <x:f>'Assumptions'!$B$14</x:f>
        <x:v>0.65</x:v>
      </x:c>
      <x:c r="AT15" s="78" t="n">
        <x:f>'Assumptions'!$B$14</x:f>
        <x:v>0.65</x:v>
      </x:c>
      <x:c r="AU15" s="78" t="n">
        <x:f>'Assumptions'!$B$14</x:f>
        <x:v>0.65</x:v>
      </x:c>
    </x:row>
    <x:row r="16">
      <x:c r="A16" s="15" t="str">
        <x:v>Monthly exposure</x:v>
      </x:c>
      <x:c r="B16" s="75"/>
      <x:c r="C16" s="53" t="n">
        <x:f>0</x:f>
        <x:v>0</x:v>
      </x:c>
      <x:c r="D16" s="53" t="n">
        <x:f>0</x:f>
        <x:v>0</x:v>
      </x:c>
      <x:c r="E16" s="53" t="n">
        <x:f>0</x:f>
        <x:v>0</x:v>
      </x:c>
      <x:c r="F16" s="53" t="n">
        <x:f>0</x:f>
        <x:v>0</x:v>
      </x:c>
      <x:c r="G16" s="53" t="n">
        <x:f>0</x:f>
        <x:v>0</x:v>
      </x:c>
      <x:c r="H16" s="53" t="n">
        <x:f>0</x:f>
        <x:v>0</x:v>
      </x:c>
      <x:c r="I16" s="53" t="n">
        <x:f>0</x:f>
        <x:v>0</x:v>
      </x:c>
      <x:c r="J16" s="53" t="n">
        <x:f>0</x:f>
        <x:v>0</x:v>
      </x:c>
      <x:c r="K16" s="53" t="n">
        <x:f>0</x:f>
        <x:v>0</x:v>
      </x:c>
      <x:c r="L16" s="53" t="n">
        <x:f>'Assumptions'!$B$16*0.8</x:f>
        <x:v>0.1</x:v>
      </x:c>
      <x:c r="M16" s="53" t="n">
        <x:f>'Assumptions'!$B$16*0.8</x:f>
        <x:v>0.1</x:v>
      </x:c>
      <x:c r="N16" s="53" t="n">
        <x:f>'Assumptions'!$B$16*0.8</x:f>
        <x:v>0.1</x:v>
      </x:c>
      <x:c r="O16" s="53" t="n">
        <x:f>'Assumptions'!$B$16*0.8</x:f>
        <x:v>0.1</x:v>
      </x:c>
      <x:c r="P16" s="53" t="n">
        <x:f>'Assumptions'!$B$16*0.8</x:f>
        <x:v>0.1</x:v>
      </x:c>
      <x:c r="Q16" s="53" t="n">
        <x:f>'Assumptions'!$B$16*0.8</x:f>
        <x:v>0.1</x:v>
      </x:c>
      <x:c r="R16" s="53" t="n">
        <x:f>'Assumptions'!$B$16*0.8</x:f>
        <x:v>0.1</x:v>
      </x:c>
      <x:c r="S16" s="53" t="n">
        <x:f>'Assumptions'!$B$16*0.8</x:f>
        <x:v>0.1</x:v>
      </x:c>
      <x:c r="T16" s="53" t="n">
        <x:f>'Assumptions'!$B$16*0.8</x:f>
        <x:v>0.1</x:v>
      </x:c>
      <x:c r="U16" s="53" t="n">
        <x:f>'Assumptions'!$B$16*0.8</x:f>
        <x:v>0.1</x:v>
      </x:c>
      <x:c r="V16" s="53" t="n">
        <x:f>'Assumptions'!$B$16*2</x:f>
        <x:v>0.25</x:v>
      </x:c>
      <x:c r="W16" s="53" t="n">
        <x:f>'Assumptions'!$B$16*2</x:f>
        <x:v>0.25</x:v>
      </x:c>
      <x:c r="X16" s="53" t="n">
        <x:f>'Assumptions'!$B$17</x:f>
        <x:v>0.6</x:v>
      </x:c>
      <x:c r="Y16" s="53" t="n">
        <x:f>'Assumptions'!$B$17</x:f>
        <x:v>0.6</x:v>
      </x:c>
      <x:c r="Z16" s="53" t="n">
        <x:f>'Assumptions'!$B$17</x:f>
        <x:v>0.6</x:v>
      </x:c>
      <x:c r="AA16" s="53" t="n">
        <x:f>'Assumptions'!$B$17</x:f>
        <x:v>0.6</x:v>
      </x:c>
      <x:c r="AB16" s="53" t="n">
        <x:f>'Assumptions'!$B$17</x:f>
        <x:v>0.6</x:v>
      </x:c>
      <x:c r="AC16" s="53" t="n">
        <x:f>'Assumptions'!$B$17</x:f>
        <x:v>0.6</x:v>
      </x:c>
      <x:c r="AD16" s="53" t="n">
        <x:f>'Assumptions'!$B$17</x:f>
        <x:v>0.6</x:v>
      </x:c>
      <x:c r="AE16" s="53" t="n">
        <x:f>'Assumptions'!$B$17</x:f>
        <x:v>0.6</x:v>
      </x:c>
      <x:c r="AF16" s="53" t="n">
        <x:f>'Assumptions'!$B$17</x:f>
        <x:v>0.6</x:v>
      </x:c>
      <x:c r="AG16" s="53" t="n">
        <x:f>'Assumptions'!$B$17</x:f>
        <x:v>0.6</x:v>
      </x:c>
      <x:c r="AH16" s="53" t="n">
        <x:f>'Assumptions'!$B$17</x:f>
        <x:v>0.6</x:v>
      </x:c>
      <x:c r="AI16" s="53" t="n">
        <x:f>'Assumptions'!$B$17</x:f>
        <x:v>0.6</x:v>
      </x:c>
      <x:c r="AJ16" s="53" t="n">
        <x:f>'Assumptions'!$B$18</x:f>
        <x:v>1</x:v>
      </x:c>
      <x:c r="AK16" s="53" t="n">
        <x:f>'Assumptions'!$B$18</x:f>
        <x:v>1</x:v>
      </x:c>
      <x:c r="AL16" s="53" t="n">
        <x:f>'Assumptions'!$B$18</x:f>
        <x:v>1</x:v>
      </x:c>
      <x:c r="AM16" s="53" t="n">
        <x:f>'Assumptions'!$B$18</x:f>
        <x:v>1</x:v>
      </x:c>
      <x:c r="AN16" s="53" t="n">
        <x:f>'Assumptions'!$B$18</x:f>
        <x:v>1</x:v>
      </x:c>
      <x:c r="AO16" s="53" t="n">
        <x:f>'Assumptions'!$B$18</x:f>
        <x:v>1</x:v>
      </x:c>
      <x:c r="AP16" s="53" t="n">
        <x:f>'Assumptions'!$B$18</x:f>
        <x:v>1</x:v>
      </x:c>
      <x:c r="AQ16" s="53" t="n">
        <x:f>'Assumptions'!$B$18</x:f>
        <x:v>1</x:v>
      </x:c>
      <x:c r="AR16" s="53" t="n">
        <x:f>'Assumptions'!$B$18</x:f>
        <x:v>1</x:v>
      </x:c>
      <x:c r="AS16" s="53" t="n">
        <x:f>'Assumptions'!$B$18</x:f>
        <x:v>1</x:v>
      </x:c>
      <x:c r="AT16" s="53" t="n">
        <x:f>'Assumptions'!$B$18</x:f>
        <x:v>1</x:v>
      </x:c>
      <x:c r="AU16" s="53" t="n">
        <x:f>'Assumptions'!$B$18</x:f>
        <x:v>1</x:v>
      </x:c>
    </x:row>
    <x:row r="17">
      <x:c r="A17" s="15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  <x:c r="O17" s="74"/>
      <x:c r="P17" s="74"/>
      <x:c r="Q17" s="74"/>
      <x:c r="R17" s="74"/>
      <x:c r="S17" s="74"/>
      <x:c r="T17" s="74"/>
      <x:c r="U17" s="74"/>
      <x:c r="V17" s="74"/>
      <x:c r="W17" s="74"/>
      <x:c r="X17" s="74"/>
      <x:c r="Y17" s="74"/>
      <x:c r="Z17" s="74"/>
      <x:c r="AA17" s="74"/>
      <x:c r="AB17" s="74"/>
      <x:c r="AC17" s="74"/>
      <x:c r="AD17" s="74"/>
      <x:c r="AE17" s="74"/>
      <x:c r="AF17" s="74"/>
      <x:c r="AG17" s="74"/>
      <x:c r="AH17" s="74"/>
      <x:c r="AI17" s="74"/>
      <x:c r="AJ17" s="74"/>
      <x:c r="AK17" s="74"/>
      <x:c r="AL17" s="74"/>
      <x:c r="AM17" s="74"/>
      <x:c r="AN17" s="74"/>
      <x:c r="AO17" s="74"/>
      <x:c r="AP17" s="74"/>
      <x:c r="AQ17" s="74"/>
      <x:c r="AR17" s="74"/>
      <x:c r="AS17" s="74"/>
      <x:c r="AT17" s="74"/>
      <x:c r="AU17" s="74"/>
    </x:row>
    <x:row r="18">
      <x:c r="A18" s="15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  <x:c r="Q18" s="74"/>
      <x:c r="R18" s="74"/>
      <x:c r="S18" s="74"/>
      <x:c r="T18" s="74"/>
      <x:c r="U18" s="74"/>
      <x:c r="V18" s="74"/>
      <x:c r="W18" s="74"/>
      <x:c r="X18" s="74"/>
      <x:c r="Y18" s="74"/>
      <x:c r="Z18" s="74"/>
      <x:c r="AA18" s="74"/>
      <x:c r="AB18" s="74"/>
      <x:c r="AC18" s="74"/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74"/>
      <x:c r="AO18" s="74"/>
      <x:c r="AP18" s="74"/>
      <x:c r="AQ18" s="74"/>
      <x:c r="AR18" s="74"/>
      <x:c r="AS18" s="74"/>
      <x:c r="AT18" s="74"/>
      <x:c r="AU18" s="74"/>
    </x:row>
    <x:row r="19">
      <x:c r="A19" s="15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  <x:c r="O19" s="74"/>
      <x:c r="P19" s="74"/>
      <x:c r="Q19" s="74"/>
      <x:c r="R19" s="74"/>
      <x:c r="S19" s="74"/>
      <x:c r="T19" s="74"/>
      <x:c r="U19" s="74"/>
      <x:c r="V19" s="74"/>
      <x:c r="W19" s="74"/>
      <x:c r="X19" s="74"/>
      <x:c r="Y19" s="74"/>
      <x:c r="Z19" s="74"/>
      <x:c r="AA19" s="74"/>
      <x:c r="AB19" s="74"/>
      <x:c r="AC19" s="74"/>
      <x:c r="AD19" s="74"/>
      <x:c r="AE19" s="74"/>
      <x:c r="AF19" s="74"/>
      <x:c r="AG19" s="74"/>
      <x:c r="AH19" s="74"/>
      <x:c r="AI19" s="74"/>
      <x:c r="AJ19" s="74"/>
      <x:c r="AK19" s="74"/>
      <x:c r="AL19" s="74"/>
      <x:c r="AM19" s="74"/>
      <x:c r="AN19" s="74"/>
      <x:c r="AO19" s="74"/>
      <x:c r="AP19" s="74"/>
      <x:c r="AQ19" s="74"/>
      <x:c r="AR19" s="74"/>
      <x:c r="AS19" s="74"/>
      <x:c r="AT19" s="74"/>
      <x:c r="AU19" s="74"/>
    </x:row>
    <x:row r="20">
      <x:c r="A20" s="15" t="str">
        <x:v>Retention benefit</x:v>
      </x:c>
      <x:c r="B20" s="74" t="n">
        <x:v>0</x:v>
      </x:c>
      <x:c r="C20" s="74" t="n">
        <x:f>C13*C16/12</x:f>
        <x:v>0</x:v>
      </x:c>
      <x:c r="D20" s="74" t="n">
        <x:f>D13*D16/12</x:f>
        <x:v>0</x:v>
      </x:c>
      <x:c r="E20" s="74" t="n">
        <x:f>E13*E16/12</x:f>
        <x:v>0</x:v>
      </x:c>
      <x:c r="F20" s="74" t="n">
        <x:f>F13*F16/12</x:f>
        <x:v>0</x:v>
      </x:c>
      <x:c r="G20" s="74" t="n">
        <x:f>G13*G16/12</x:f>
        <x:v>0</x:v>
      </x:c>
      <x:c r="H20" s="74" t="n">
        <x:f>H13*H16/12</x:f>
        <x:v>0</x:v>
      </x:c>
      <x:c r="I20" s="74" t="n">
        <x:f>I13*I16/12</x:f>
        <x:v>0</x:v>
      </x:c>
      <x:c r="J20" s="74" t="n">
        <x:f>J13*J16/12</x:f>
        <x:v>0</x:v>
      </x:c>
      <x:c r="K20" s="74" t="n">
        <x:f>K13*K16/12</x:f>
        <x:v>0</x:v>
      </x:c>
      <x:c r="L20" s="74" t="n">
        <x:f>L13*L16/12</x:f>
        <x:v>0.007488303477344573</x:v>
      </x:c>
      <x:c r="M20" s="74" t="n">
        <x:f>M13*M16/12</x:f>
        <x:v>0.007488303477344573</x:v>
      </x:c>
      <x:c r="N20" s="74" t="n">
        <x:f>N13*N16/12</x:f>
        <x:v>0.007488303477344573</x:v>
      </x:c>
      <x:c r="O20" s="74" t="n">
        <x:f>O13*O16/12</x:f>
        <x:v>0.007488303477344573</x:v>
      </x:c>
      <x:c r="P20" s="74" t="n">
        <x:f>P13*P16/12</x:f>
        <x:v>0.007488303477344573</x:v>
      </x:c>
      <x:c r="Q20" s="74" t="n">
        <x:f>Q13*Q16/12</x:f>
        <x:v>0.007488303477344573</x:v>
      </x:c>
      <x:c r="R20" s="74" t="n">
        <x:f>R13*R16/12</x:f>
        <x:v>0.007488303477344573</x:v>
      </x:c>
      <x:c r="S20" s="74" t="n">
        <x:f>S13*S16/12</x:f>
        <x:v>0.007488303477344573</x:v>
      </x:c>
      <x:c r="T20" s="74" t="n">
        <x:f>T13*T16/12</x:f>
        <x:v>0.007488303477344573</x:v>
      </x:c>
      <x:c r="U20" s="74" t="n">
        <x:f>U13*U16/12</x:f>
        <x:v>0.007488303477344573</x:v>
      </x:c>
      <x:c r="V20" s="74" t="n">
        <x:f>V13*V16/12</x:f>
        <x:v>0.01872075869336143</x:v>
      </x:c>
      <x:c r="W20" s="74" t="n">
        <x:f>W13*W16/12</x:f>
        <x:v>0.01872075869336143</x:v>
      </x:c>
      <x:c r="X20" s="74" t="n">
        <x:f>X13*X16/12</x:f>
        <x:v>0.04492982086406744</x:v>
      </x:c>
      <x:c r="Y20" s="74" t="n">
        <x:f>Y13*Y16/12</x:f>
        <x:v>0.04492982086406744</x:v>
      </x:c>
      <x:c r="Z20" s="74" t="n">
        <x:f>Z13*Z16/12</x:f>
        <x:v>0.04492982086406744</x:v>
      </x:c>
      <x:c r="AA20" s="74" t="n">
        <x:f>AA13*AA16/12</x:f>
        <x:v>0.04492982086406744</x:v>
      </x:c>
      <x:c r="AB20" s="74" t="n">
        <x:f>AB13*AB16/12</x:f>
        <x:v>0.04492982086406744</x:v>
      </x:c>
      <x:c r="AC20" s="74" t="n">
        <x:f>AC13*AC16/12</x:f>
        <x:v>0.04492982086406744</x:v>
      </x:c>
      <x:c r="AD20" s="74" t="n">
        <x:f>AD13*AD16/12</x:f>
        <x:v>0.04492982086406744</x:v>
      </x:c>
      <x:c r="AE20" s="74" t="n">
        <x:f>AE13*AE16/12</x:f>
        <x:v>0.04492982086406744</x:v>
      </x:c>
      <x:c r="AF20" s="74" t="n">
        <x:f>AF13*AF16/12</x:f>
        <x:v>0.04492982086406744</x:v>
      </x:c>
      <x:c r="AG20" s="74" t="n">
        <x:f>AG13*AG16/12</x:f>
        <x:v>0.04492982086406744</x:v>
      </x:c>
      <x:c r="AH20" s="74" t="n">
        <x:f>AH13*AH16/12</x:f>
        <x:v>0.04492982086406744</x:v>
      </x:c>
      <x:c r="AI20" s="74" t="n">
        <x:f>AI13*AI16/12</x:f>
        <x:v>0.04492982086406744</x:v>
      </x:c>
      <x:c r="AJ20" s="74" t="n">
        <x:f>AJ13*AJ16/12</x:f>
        <x:v>0.07488303477344573</x:v>
      </x:c>
      <x:c r="AK20" s="74" t="n">
        <x:f>AK13*AK16/12</x:f>
        <x:v>0.07488303477344573</x:v>
      </x:c>
      <x:c r="AL20" s="74" t="n">
        <x:f>AL13*AL16/12</x:f>
        <x:v>0.07488303477344573</x:v>
      </x:c>
      <x:c r="AM20" s="74" t="n">
        <x:f>AM13*AM16/12</x:f>
        <x:v>0.07488303477344573</x:v>
      </x:c>
      <x:c r="AN20" s="74" t="n">
        <x:f>AN13*AN16/12</x:f>
        <x:v>0.07488303477344573</x:v>
      </x:c>
      <x:c r="AO20" s="74" t="n">
        <x:f>AO13*AO16/12</x:f>
        <x:v>0.07488303477344573</x:v>
      </x:c>
      <x:c r="AP20" s="74" t="n">
        <x:f>AP13*AP16/12</x:f>
        <x:v>0.07488303477344573</x:v>
      </x:c>
      <x:c r="AQ20" s="74" t="n">
        <x:f>AQ13*AQ16/12</x:f>
        <x:v>0.07488303477344573</x:v>
      </x:c>
      <x:c r="AR20" s="74" t="n">
        <x:f>AR13*AR16/12</x:f>
        <x:v>0.07488303477344573</x:v>
      </x:c>
      <x:c r="AS20" s="74" t="n">
        <x:f>AS13*AS16/12</x:f>
        <x:v>0.07488303477344573</x:v>
      </x:c>
      <x:c r="AT20" s="74" t="n">
        <x:f>AT13*AT16/12</x:f>
        <x:v>0.07488303477344573</x:v>
      </x:c>
      <x:c r="AU20" s="74" t="n">
        <x:f>AU13*AU16/12</x:f>
        <x:v>0.07488303477344573</x:v>
      </x:c>
    </x:row>
    <x:row r="21">
      <x:c r="A21" s="15" t="str">
        <x:v>Cashable contact benefit</x:v>
      </x:c>
      <x:c r="B21" s="74" t="n">
        <x:v>0</x:v>
      </x:c>
      <x:c r="C21" s="74" t="n">
        <x:f>C14*C16/12</x:f>
        <x:v>0</x:v>
      </x:c>
      <x:c r="D21" s="74" t="n">
        <x:f>D14*D16/12</x:f>
        <x:v>0</x:v>
      </x:c>
      <x:c r="E21" s="74" t="n">
        <x:f>E14*E16/12</x:f>
        <x:v>0</x:v>
      </x:c>
      <x:c r="F21" s="74" t="n">
        <x:f>F14*F16/12</x:f>
        <x:v>0</x:v>
      </x:c>
      <x:c r="G21" s="74" t="n">
        <x:f>G14*G16/12</x:f>
        <x:v>0</x:v>
      </x:c>
      <x:c r="H21" s="74" t="n">
        <x:f>H14*H16/12</x:f>
        <x:v>0</x:v>
      </x:c>
      <x:c r="I21" s="74" t="n">
        <x:f>I14*I16/12</x:f>
        <x:v>0</x:v>
      </x:c>
      <x:c r="J21" s="74" t="n">
        <x:f>J14*J16/12</x:f>
        <x:v>0</x:v>
      </x:c>
      <x:c r="K21" s="74" t="n">
        <x:f>K14*K16/12</x:f>
        <x:v>0</x:v>
      </x:c>
      <x:c r="L21" s="74" t="n">
        <x:f>L14*L16/12</x:f>
        <x:v>0.007500000000000001</x:v>
      </x:c>
      <x:c r="M21" s="74" t="n">
        <x:f>M14*M16/12</x:f>
        <x:v>0.007500000000000001</x:v>
      </x:c>
      <x:c r="N21" s="74" t="n">
        <x:f>N14*N16/12</x:f>
        <x:v>0.007500000000000001</x:v>
      </x:c>
      <x:c r="O21" s="74" t="n">
        <x:f>O14*O16/12</x:f>
        <x:v>0.007500000000000001</x:v>
      </x:c>
      <x:c r="P21" s="74" t="n">
        <x:f>P14*P16/12</x:f>
        <x:v>0.007500000000000001</x:v>
      </x:c>
      <x:c r="Q21" s="74" t="n">
        <x:f>Q14*Q16/12</x:f>
        <x:v>0.007500000000000001</x:v>
      </x:c>
      <x:c r="R21" s="74" t="n">
        <x:f>R14*R16/12</x:f>
        <x:v>0.007500000000000001</x:v>
      </x:c>
      <x:c r="S21" s="74" t="n">
        <x:f>S14*S16/12</x:f>
        <x:v>0.007500000000000001</x:v>
      </x:c>
      <x:c r="T21" s="74" t="n">
        <x:f>T14*T16/12</x:f>
        <x:v>0.007500000000000001</x:v>
      </x:c>
      <x:c r="U21" s="74" t="n">
        <x:f>U14*U16/12</x:f>
        <x:v>0.007500000000000001</x:v>
      </x:c>
      <x:c r="V21" s="74" t="n">
        <x:f>V14*V16/12</x:f>
        <x:v>0.01875</x:v>
      </x:c>
      <x:c r="W21" s="74" t="n">
        <x:f>W14*W16/12</x:f>
        <x:v>0.01875</x:v>
      </x:c>
      <x:c r="X21" s="74" t="n">
        <x:f>X14*X16/12</x:f>
        <x:v>0.045000000000000005</x:v>
      </x:c>
      <x:c r="Y21" s="74" t="n">
        <x:f>Y14*Y16/12</x:f>
        <x:v>0.045000000000000005</x:v>
      </x:c>
      <x:c r="Z21" s="74" t="n">
        <x:f>Z14*Z16/12</x:f>
        <x:v>0.045000000000000005</x:v>
      </x:c>
      <x:c r="AA21" s="74" t="n">
        <x:f>AA14*AA16/12</x:f>
        <x:v>0.045000000000000005</x:v>
      </x:c>
      <x:c r="AB21" s="74" t="n">
        <x:f>AB14*AB16/12</x:f>
        <x:v>0.045000000000000005</x:v>
      </x:c>
      <x:c r="AC21" s="74" t="n">
        <x:f>AC14*AC16/12</x:f>
        <x:v>0.045000000000000005</x:v>
      </x:c>
      <x:c r="AD21" s="74" t="n">
        <x:f>AD14*AD16/12</x:f>
        <x:v>0.045000000000000005</x:v>
      </x:c>
      <x:c r="AE21" s="74" t="n">
        <x:f>AE14*AE16/12</x:f>
        <x:v>0.045000000000000005</x:v>
      </x:c>
      <x:c r="AF21" s="74" t="n">
        <x:f>AF14*AF16/12</x:f>
        <x:v>0.045000000000000005</x:v>
      </x:c>
      <x:c r="AG21" s="74" t="n">
        <x:f>AG14*AG16/12</x:f>
        <x:v>0.045000000000000005</x:v>
      </x:c>
      <x:c r="AH21" s="74" t="n">
        <x:f>AH14*AH16/12</x:f>
        <x:v>0.045000000000000005</x:v>
      </x:c>
      <x:c r="AI21" s="74" t="n">
        <x:f>AI14*AI16/12</x:f>
        <x:v>0.045000000000000005</x:v>
      </x:c>
      <x:c r="AJ21" s="74" t="n">
        <x:f>AJ14*AJ16/12</x:f>
        <x:v>0.075</x:v>
      </x:c>
      <x:c r="AK21" s="74" t="n">
        <x:f>AK14*AK16/12</x:f>
        <x:v>0.075</x:v>
      </x:c>
      <x:c r="AL21" s="74" t="n">
        <x:f>AL14*AL16/12</x:f>
        <x:v>0.075</x:v>
      </x:c>
      <x:c r="AM21" s="74" t="n">
        <x:f>AM14*AM16/12</x:f>
        <x:v>0.075</x:v>
      </x:c>
      <x:c r="AN21" s="74" t="n">
        <x:f>AN14*AN16/12</x:f>
        <x:v>0.075</x:v>
      </x:c>
      <x:c r="AO21" s="74" t="n">
        <x:f>AO14*AO16/12</x:f>
        <x:v>0.075</x:v>
      </x:c>
      <x:c r="AP21" s="74" t="n">
        <x:f>AP14*AP16/12</x:f>
        <x:v>0.075</x:v>
      </x:c>
      <x:c r="AQ21" s="74" t="n">
        <x:f>AQ14*AQ16/12</x:f>
        <x:v>0.075</x:v>
      </x:c>
      <x:c r="AR21" s="74" t="n">
        <x:f>AR14*AR16/12</x:f>
        <x:v>0.075</x:v>
      </x:c>
      <x:c r="AS21" s="74" t="n">
        <x:f>AS14*AS16/12</x:f>
        <x:v>0.075</x:v>
      </x:c>
      <x:c r="AT21" s="74" t="n">
        <x:f>AT14*AT16/12</x:f>
        <x:v>0.075</x:v>
      </x:c>
      <x:c r="AU21" s="74" t="n">
        <x:f>AU14*AU16/12</x:f>
        <x:v>0.075</x:v>
      </x:c>
    </x:row>
    <x:row r="22">
      <x:c r="A22" s="76" t="str">
        <x:v>Total cash benefit</x:v>
      </x:c>
      <x:c r="B22" s="77" t="n">
        <x:v>0</x:v>
      </x:c>
      <x:c r="C22" s="77" t="n">
        <x:f>SUM(C20:C21)</x:f>
        <x:v>0</x:v>
      </x:c>
      <x:c r="D22" s="77" t="n">
        <x:f>SUM(D20:D21)</x:f>
        <x:v>0</x:v>
      </x:c>
      <x:c r="E22" s="77" t="n">
        <x:f>SUM(E20:E21)</x:f>
        <x:v>0</x:v>
      </x:c>
      <x:c r="F22" s="77" t="n">
        <x:f>SUM(F20:F21)</x:f>
        <x:v>0</x:v>
      </x:c>
      <x:c r="G22" s="77" t="n">
        <x:f>SUM(G20:G21)</x:f>
        <x:v>0</x:v>
      </x:c>
      <x:c r="H22" s="77" t="n">
        <x:f>SUM(H20:H21)</x:f>
        <x:v>0</x:v>
      </x:c>
      <x:c r="I22" s="77" t="n">
        <x:f>SUM(I20:I21)</x:f>
        <x:v>0</x:v>
      </x:c>
      <x:c r="J22" s="77" t="n">
        <x:f>SUM(J20:J21)</x:f>
        <x:v>0</x:v>
      </x:c>
      <x:c r="K22" s="77" t="n">
        <x:f>SUM(K20:K21)</x:f>
        <x:v>0</x:v>
      </x:c>
      <x:c r="L22" s="77" t="n">
        <x:f>SUM(L20:L21)</x:f>
        <x:v>0.014988303477344573</x:v>
      </x:c>
      <x:c r="M22" s="77" t="n">
        <x:f>SUM(M20:M21)</x:f>
        <x:v>0.014988303477344573</x:v>
      </x:c>
      <x:c r="N22" s="77" t="n">
        <x:f>SUM(N20:N21)</x:f>
        <x:v>0.014988303477344573</x:v>
      </x:c>
      <x:c r="O22" s="77" t="n">
        <x:f>SUM(O20:O21)</x:f>
        <x:v>0.014988303477344573</x:v>
      </x:c>
      <x:c r="P22" s="77" t="n">
        <x:f>SUM(P20:P21)</x:f>
        <x:v>0.014988303477344573</x:v>
      </x:c>
      <x:c r="Q22" s="77" t="n">
        <x:f>SUM(Q20:Q21)</x:f>
        <x:v>0.014988303477344573</x:v>
      </x:c>
      <x:c r="R22" s="77" t="n">
        <x:f>SUM(R20:R21)</x:f>
        <x:v>0.014988303477344573</x:v>
      </x:c>
      <x:c r="S22" s="77" t="n">
        <x:f>SUM(S20:S21)</x:f>
        <x:v>0.014988303477344573</x:v>
      </x:c>
      <x:c r="T22" s="77" t="n">
        <x:f>SUM(T20:T21)</x:f>
        <x:v>0.014988303477344573</x:v>
      </x:c>
      <x:c r="U22" s="77" t="n">
        <x:f>SUM(U20:U21)</x:f>
        <x:v>0.014988303477344573</x:v>
      </x:c>
      <x:c r="V22" s="77" t="n">
        <x:f>SUM(V20:V21)</x:f>
        <x:v>0.03747075869336143</x:v>
      </x:c>
      <x:c r="W22" s="77" t="n">
        <x:f>SUM(W20:W21)</x:f>
        <x:v>0.03747075869336143</x:v>
      </x:c>
      <x:c r="X22" s="77" t="n">
        <x:f>SUM(X20:X21)</x:f>
        <x:v>0.08992982086406745</x:v>
      </x:c>
      <x:c r="Y22" s="77" t="n">
        <x:f>SUM(Y20:Y21)</x:f>
        <x:v>0.08992982086406745</x:v>
      </x:c>
      <x:c r="Z22" s="77" t="n">
        <x:f>SUM(Z20:Z21)</x:f>
        <x:v>0.08992982086406745</x:v>
      </x:c>
      <x:c r="AA22" s="77" t="n">
        <x:f>SUM(AA20:AA21)</x:f>
        <x:v>0.08992982086406745</x:v>
      </x:c>
      <x:c r="AB22" s="77" t="n">
        <x:f>SUM(AB20:AB21)</x:f>
        <x:v>0.08992982086406745</x:v>
      </x:c>
      <x:c r="AC22" s="77" t="n">
        <x:f>SUM(AC20:AC21)</x:f>
        <x:v>0.08992982086406745</x:v>
      </x:c>
      <x:c r="AD22" s="77" t="n">
        <x:f>SUM(AD20:AD21)</x:f>
        <x:v>0.08992982086406745</x:v>
      </x:c>
      <x:c r="AE22" s="77" t="n">
        <x:f>SUM(AE20:AE21)</x:f>
        <x:v>0.08992982086406745</x:v>
      </x:c>
      <x:c r="AF22" s="77" t="n">
        <x:f>SUM(AF20:AF21)</x:f>
        <x:v>0.08992982086406745</x:v>
      </x:c>
      <x:c r="AG22" s="77" t="n">
        <x:f>SUM(AG20:AG21)</x:f>
        <x:v>0.08992982086406745</x:v>
      </x:c>
      <x:c r="AH22" s="77" t="n">
        <x:f>SUM(AH20:AH21)</x:f>
        <x:v>0.08992982086406745</x:v>
      </x:c>
      <x:c r="AI22" s="77" t="n">
        <x:f>SUM(AI20:AI21)</x:f>
        <x:v>0.08992982086406745</x:v>
      </x:c>
      <x:c r="AJ22" s="77" t="n">
        <x:f>SUM(AJ20:AJ21)</x:f>
        <x:v>0.14988303477344572</x:v>
      </x:c>
      <x:c r="AK22" s="77" t="n">
        <x:f>SUM(AK20:AK21)</x:f>
        <x:v>0.14988303477344572</x:v>
      </x:c>
      <x:c r="AL22" s="77" t="n">
        <x:f>SUM(AL20:AL21)</x:f>
        <x:v>0.14988303477344572</x:v>
      </x:c>
      <x:c r="AM22" s="77" t="n">
        <x:f>SUM(AM20:AM21)</x:f>
        <x:v>0.14988303477344572</x:v>
      </x:c>
      <x:c r="AN22" s="77" t="n">
        <x:f>SUM(AN20:AN21)</x:f>
        <x:v>0.14988303477344572</x:v>
      </x:c>
      <x:c r="AO22" s="77" t="n">
        <x:f>SUM(AO20:AO21)</x:f>
        <x:v>0.14988303477344572</x:v>
      </x:c>
      <x:c r="AP22" s="77" t="n">
        <x:f>SUM(AP20:AP21)</x:f>
        <x:v>0.14988303477344572</x:v>
      </x:c>
      <x:c r="AQ22" s="77" t="n">
        <x:f>SUM(AQ20:AQ21)</x:f>
        <x:v>0.14988303477344572</x:v>
      </x:c>
      <x:c r="AR22" s="77" t="n">
        <x:f>SUM(AR20:AR21)</x:f>
        <x:v>0.14988303477344572</x:v>
      </x:c>
      <x:c r="AS22" s="77" t="n">
        <x:f>SUM(AS20:AS21)</x:f>
        <x:v>0.14988303477344572</x:v>
      </x:c>
      <x:c r="AT22" s="77" t="n">
        <x:f>SUM(AT20:AT21)</x:f>
        <x:v>0.14988303477344572</x:v>
      </x:c>
      <x:c r="AU22" s="77" t="n">
        <x:f>SUM(AU20:AU21)</x:f>
        <x:v>0.14988303477344572</x:v>
      </x:c>
    </x:row>
    <x:row r="23">
      <x:c r="A23" s="15" t="str">
        <x:v>Operating cash cost</x:v>
      </x:c>
      <x:c r="B23" s="74" t="n">
        <x:v>0</x:v>
      </x:c>
      <x:c r="C23" s="74" t="n">
        <x:f>C15/12</x:f>
        <x:v>0</x:v>
      </x:c>
      <x:c r="D23" s="74" t="n">
        <x:f>D15/12</x:f>
        <x:v>0</x:v>
      </x:c>
      <x:c r="E23" s="74" t="n">
        <x:f>E15/12</x:f>
        <x:v>0</x:v>
      </x:c>
      <x:c r="F23" s="74" t="n">
        <x:f>F15/12</x:f>
        <x:v>0</x:v>
      </x:c>
      <x:c r="G23" s="74" t="n">
        <x:f>G15/12</x:f>
        <x:v>0</x:v>
      </x:c>
      <x:c r="H23" s="74" t="n">
        <x:f>H15/12</x:f>
        <x:v>0</x:v>
      </x:c>
      <x:c r="I23" s="74" t="n">
        <x:f>I15/12</x:f>
        <x:v>0</x:v>
      </x:c>
      <x:c r="J23" s="74" t="n">
        <x:f>J15/12</x:f>
        <x:v>0</x:v>
      </x:c>
      <x:c r="K23" s="74" t="n">
        <x:f>K15/12</x:f>
        <x:v>0</x:v>
      </x:c>
      <x:c r="L23" s="74" t="n">
        <x:f>L15/12</x:f>
        <x:v>0.05416666666666667</x:v>
      </x:c>
      <x:c r="M23" s="74" t="n">
        <x:f>M15/12</x:f>
        <x:v>0.05416666666666667</x:v>
      </x:c>
      <x:c r="N23" s="74" t="n">
        <x:f>N15/12</x:f>
        <x:v>0.05416666666666667</x:v>
      </x:c>
      <x:c r="O23" s="74" t="n">
        <x:f>O15/12</x:f>
        <x:v>0.05416666666666667</x:v>
      </x:c>
      <x:c r="P23" s="74" t="n">
        <x:f>P15/12</x:f>
        <x:v>0.05416666666666667</x:v>
      </x:c>
      <x:c r="Q23" s="74" t="n">
        <x:f>Q15/12</x:f>
        <x:v>0.05416666666666667</x:v>
      </x:c>
      <x:c r="R23" s="74" t="n">
        <x:f>R15/12</x:f>
        <x:v>0.05416666666666667</x:v>
      </x:c>
      <x:c r="S23" s="74" t="n">
        <x:f>S15/12</x:f>
        <x:v>0.05416666666666667</x:v>
      </x:c>
      <x:c r="T23" s="74" t="n">
        <x:f>T15/12</x:f>
        <x:v>0.05416666666666667</x:v>
      </x:c>
      <x:c r="U23" s="74" t="n">
        <x:f>U15/12</x:f>
        <x:v>0.05416666666666667</x:v>
      </x:c>
      <x:c r="V23" s="74" t="n">
        <x:f>V15/12</x:f>
        <x:v>0.05416666666666667</x:v>
      </x:c>
      <x:c r="W23" s="74" t="n">
        <x:f>W15/12</x:f>
        <x:v>0.05416666666666667</x:v>
      </x:c>
      <x:c r="X23" s="74" t="n">
        <x:f>X15/12</x:f>
        <x:v>0.05416666666666667</x:v>
      </x:c>
      <x:c r="Y23" s="74" t="n">
        <x:f>Y15/12</x:f>
        <x:v>0.05416666666666667</x:v>
      </x:c>
      <x:c r="Z23" s="74" t="n">
        <x:f>Z15/12</x:f>
        <x:v>0.05416666666666667</x:v>
      </x:c>
      <x:c r="AA23" s="74" t="n">
        <x:f>AA15/12</x:f>
        <x:v>0.05416666666666667</x:v>
      </x:c>
      <x:c r="AB23" s="74" t="n">
        <x:f>AB15/12</x:f>
        <x:v>0.05416666666666667</x:v>
      </x:c>
      <x:c r="AC23" s="74" t="n">
        <x:f>AC15/12</x:f>
        <x:v>0.05416666666666667</x:v>
      </x:c>
      <x:c r="AD23" s="74" t="n">
        <x:f>AD15/12</x:f>
        <x:v>0.05416666666666667</x:v>
      </x:c>
      <x:c r="AE23" s="74" t="n">
        <x:f>AE15/12</x:f>
        <x:v>0.05416666666666667</x:v>
      </x:c>
      <x:c r="AF23" s="74" t="n">
        <x:f>AF15/12</x:f>
        <x:v>0.05416666666666667</x:v>
      </x:c>
      <x:c r="AG23" s="74" t="n">
        <x:f>AG15/12</x:f>
        <x:v>0.05416666666666667</x:v>
      </x:c>
      <x:c r="AH23" s="74" t="n">
        <x:f>AH15/12</x:f>
        <x:v>0.05416666666666667</x:v>
      </x:c>
      <x:c r="AI23" s="74" t="n">
        <x:f>AI15/12</x:f>
        <x:v>0.05416666666666667</x:v>
      </x:c>
      <x:c r="AJ23" s="74" t="n">
        <x:f>AJ15/12</x:f>
        <x:v>0.05416666666666667</x:v>
      </x:c>
      <x:c r="AK23" s="74" t="n">
        <x:f>AK15/12</x:f>
        <x:v>0.05416666666666667</x:v>
      </x:c>
      <x:c r="AL23" s="74" t="n">
        <x:f>AL15/12</x:f>
        <x:v>0.05416666666666667</x:v>
      </x:c>
      <x:c r="AM23" s="74" t="n">
        <x:f>AM15/12</x:f>
        <x:v>0.05416666666666667</x:v>
      </x:c>
      <x:c r="AN23" s="74" t="n">
        <x:f>AN15/12</x:f>
        <x:v>0.05416666666666667</x:v>
      </x:c>
      <x:c r="AO23" s="74" t="n">
        <x:f>AO15/12</x:f>
        <x:v>0.05416666666666667</x:v>
      </x:c>
      <x:c r="AP23" s="74" t="n">
        <x:f>AP15/12</x:f>
        <x:v>0.05416666666666667</x:v>
      </x:c>
      <x:c r="AQ23" s="74" t="n">
        <x:f>AQ15/12</x:f>
        <x:v>0.05416666666666667</x:v>
      </x:c>
      <x:c r="AR23" s="74" t="n">
        <x:f>AR15/12</x:f>
        <x:v>0.05416666666666667</x:v>
      </x:c>
      <x:c r="AS23" s="74" t="n">
        <x:f>AS15/12</x:f>
        <x:v>0.05416666666666667</x:v>
      </x:c>
      <x:c r="AT23" s="74" t="n">
        <x:f>AT15/12</x:f>
        <x:v>0.05416666666666667</x:v>
      </x:c>
      <x:c r="AU23" s="74" t="n">
        <x:f>AU15/12</x:f>
        <x:v>0.05416666666666667</x:v>
      </x:c>
    </x:row>
    <x:row r="24">
      <x:c r="A24" s="76" t="str">
        <x:v>Net cash flow</x:v>
      </x:c>
      <x:c r="B24" s="77" t="n">
        <x:v>0</x:v>
      </x:c>
      <x:c r="C24" s="77" t="n">
        <x:f>C22-C11-C23</x:f>
        <x:v>-0.11615385416666667</x:v>
      </x:c>
      <x:c r="D24" s="77" t="n">
        <x:f>D22-D11-D23</x:f>
        <x:v>-0.28046153935185186</x:v>
      </x:c>
      <x:c r="E24" s="77" t="n">
        <x:f>E22-E11-E23</x:f>
        <x:v>-0.18638461805555556</x:v>
      </x:c>
      <x:c r="F24" s="77" t="n">
        <x:f>F22-F11-F23</x:f>
        <x:v>-0.3784814814814815</x:v>
      </x:c>
      <x:c r="G24" s="77" t="n">
        <x:f>G22-G11-G23</x:f>
        <x:v>-0.33051851851851854</x:v>
      </x:c>
      <x:c r="H24" s="77" t="n">
        <x:f>H22-H11-H23</x:f>
        <x:v>-0.20430342592592593</x:v>
      </x:c>
      <x:c r="I24" s="77" t="n">
        <x:f>I22-I11-I23</x:f>
        <x:v>-0.1594871875</x:v>
      </x:c>
      <x:c r="J24" s="77" t="n">
        <x:f>J22-J11-J23</x:f>
        <x:v>-0.13380342592592592</x:v>
      </x:c>
      <x:c r="K24" s="77" t="n">
        <x:f>K22-K11-K23</x:f>
        <x:v>-0.1479059837962963</x:v>
      </x:c>
      <x:c r="L24" s="77" t="n">
        <x:f>L22-L11-L23</x:f>
        <x:v>-0.1016783631893221</x:v>
      </x:c>
      <x:c r="M24" s="77" t="n">
        <x:f>M22-M11-M23</x:f>
        <x:v>-0.039178363189322093</x:v>
      </x:c>
      <x:c r="N24" s="77" t="n">
        <x:f>N22-N11-N23</x:f>
        <x:v>-0.039178363189322093</x:v>
      </x:c>
      <x:c r="O24" s="77" t="n">
        <x:f>O22-O11-O23</x:f>
        <x:v>-0.039178363189322093</x:v>
      </x:c>
      <x:c r="P24" s="77" t="n">
        <x:f>P22-P11-P23</x:f>
        <x:v>-0.039178363189322093</x:v>
      </x:c>
      <x:c r="Q24" s="77" t="n">
        <x:f>Q22-Q11-Q23</x:f>
        <x:v>-0.039178363189322093</x:v>
      </x:c>
      <x:c r="R24" s="77" t="n">
        <x:f>R22-R11-R23</x:f>
        <x:v>-0.039178363189322093</x:v>
      </x:c>
      <x:c r="S24" s="77" t="n">
        <x:f>S22-S11-S23</x:f>
        <x:v>-0.039178363189322093</x:v>
      </x:c>
      <x:c r="T24" s="77" t="n">
        <x:f>T22-T11-T23</x:f>
        <x:v>-0.039178363189322093</x:v>
      </x:c>
      <x:c r="U24" s="77" t="n">
        <x:f>U22-U11-U23</x:f>
        <x:v>-0.039178363189322093</x:v>
      </x:c>
      <x:c r="V24" s="77" t="n">
        <x:f>V22-V11-V23</x:f>
        <x:v>-0.016695907973305238</x:v>
      </x:c>
      <x:c r="W24" s="77" t="n">
        <x:f>W22-W11-W23</x:f>
        <x:v>-0.016695907973305238</x:v>
      </x:c>
      <x:c r="X24" s="77" t="n">
        <x:f>X22-X11-X23</x:f>
        <x:v>0.03576315419740078</x:v>
      </x:c>
      <x:c r="Y24" s="77" t="n">
        <x:f>Y22-Y11-Y23</x:f>
        <x:v>0.03576315419740078</x:v>
      </x:c>
      <x:c r="Z24" s="77" t="n">
        <x:f>Z22-Z11-Z23</x:f>
        <x:v>0.03576315419740078</x:v>
      </x:c>
      <x:c r="AA24" s="77" t="n">
        <x:f>AA22-AA11-AA23</x:f>
        <x:v>0.03576315419740078</x:v>
      </x:c>
      <x:c r="AB24" s="77" t="n">
        <x:f>AB22-AB11-AB23</x:f>
        <x:v>0.03576315419740078</x:v>
      </x:c>
      <x:c r="AC24" s="77" t="n">
        <x:f>AC22-AC11-AC23</x:f>
        <x:v>0.03576315419740078</x:v>
      </x:c>
      <x:c r="AD24" s="77" t="n">
        <x:f>AD22-AD11-AD23</x:f>
        <x:v>0.03576315419740078</x:v>
      </x:c>
      <x:c r="AE24" s="77" t="n">
        <x:f>AE22-AE11-AE23</x:f>
        <x:v>0.03576315419740078</x:v>
      </x:c>
      <x:c r="AF24" s="77" t="n">
        <x:f>AF22-AF11-AF23</x:f>
        <x:v>0.03576315419740078</x:v>
      </x:c>
      <x:c r="AG24" s="77" t="n">
        <x:f>AG22-AG11-AG23</x:f>
        <x:v>0.03576315419740078</x:v>
      </x:c>
      <x:c r="AH24" s="77" t="n">
        <x:f>AH22-AH11-AH23</x:f>
        <x:v>0.03576315419740078</x:v>
      </x:c>
      <x:c r="AI24" s="77" t="n">
        <x:f>AI22-AI11-AI23</x:f>
        <x:v>0.03576315419740078</x:v>
      </x:c>
      <x:c r="AJ24" s="77" t="n">
        <x:f>AJ22-AJ11-AJ23</x:f>
        <x:v>0.09571636810677905</x:v>
      </x:c>
      <x:c r="AK24" s="77" t="n">
        <x:f>AK22-AK11-AK23</x:f>
        <x:v>0.09571636810677905</x:v>
      </x:c>
      <x:c r="AL24" s="77" t="n">
        <x:f>AL22-AL11-AL23</x:f>
        <x:v>0.09571636810677905</x:v>
      </x:c>
      <x:c r="AM24" s="77" t="n">
        <x:f>AM22-AM11-AM23</x:f>
        <x:v>0.09571636810677905</x:v>
      </x:c>
      <x:c r="AN24" s="77" t="n">
        <x:f>AN22-AN11-AN23</x:f>
        <x:v>0.09571636810677905</x:v>
      </x:c>
      <x:c r="AO24" s="77" t="n">
        <x:f>AO22-AO11-AO23</x:f>
        <x:v>0.09571636810677905</x:v>
      </x:c>
      <x:c r="AP24" s="77" t="n">
        <x:f>AP22-AP11-AP23</x:f>
        <x:v>0.09571636810677905</x:v>
      </x:c>
      <x:c r="AQ24" s="77" t="n">
        <x:f>AQ22-AQ11-AQ23</x:f>
        <x:v>0.09571636810677905</x:v>
      </x:c>
      <x:c r="AR24" s="77" t="n">
        <x:f>AR22-AR11-AR23</x:f>
        <x:v>0.09571636810677905</x:v>
      </x:c>
      <x:c r="AS24" s="77" t="n">
        <x:f>AS22-AS11-AS23</x:f>
        <x:v>0.09571636810677905</x:v>
      </x:c>
      <x:c r="AT24" s="77" t="n">
        <x:f>AT22-AT11-AT23</x:f>
        <x:v>0.09571636810677905</x:v>
      </x:c>
      <x:c r="AU24" s="77" t="n">
        <x:f>AU22-AU11-AU23</x:f>
        <x:v>0.09571636810677905</x:v>
      </x:c>
    </x:row>
    <x:row r="25">
      <x:c r="A25" s="15" t="str">
        <x:v>Years from valuation (actual/365)</x:v>
      </x:c>
      <x:c r="B25" s="74" t="n">
        <x:v>0</x:v>
      </x:c>
      <x:c r="C25" s="74" t="n">
        <x:f>(C$6-$B$6)/365</x:f>
        <x:v>0.07123287671232877</x:v>
      </x:c>
      <x:c r="D25" s="74" t="n">
        <x:f>(D$6-$B$6)/365</x:f>
        <x:v>0.15342465753424658</x:v>
      </x:c>
      <x:c r="E25" s="74" t="n">
        <x:f>(E$6-$B$6)/365</x:f>
        <x:v>0.23835616438356164</x:v>
      </x:c>
      <x:c r="F25" s="74" t="n">
        <x:f>(F$6-$B$6)/365</x:f>
        <x:v>0.3232876712328767</x:v>
      </x:c>
      <x:c r="G25" s="74" t="n">
        <x:f>(G$6-$B$6)/365</x:f>
        <x:v>0.4</x:v>
      </x:c>
      <x:c r="H25" s="74" t="n">
        <x:f>(H$6-$B$6)/365</x:f>
        <x:v>0.4849315068493151</x:v>
      </x:c>
      <x:c r="I25" s="74" t="n">
        <x:f>(I$6-$B$6)/365</x:f>
        <x:v>0.5671232876712329</x:v>
      </x:c>
      <x:c r="J25" s="74" t="n">
        <x:f>(J$6-$B$6)/365</x:f>
        <x:v>0.6520547945205479</x:v>
      </x:c>
      <x:c r="K25" s="74" t="n">
        <x:f>(K$6-$B$6)/365</x:f>
        <x:v>0.7342465753424657</x:v>
      </x:c>
      <x:c r="L25" s="74" t="n">
        <x:f>(L$6-$B$6)/365</x:f>
        <x:v>0.8191780821917808</x:v>
      </x:c>
      <x:c r="M25" s="74" t="n">
        <x:f>(M$6-$B$6)/365</x:f>
        <x:v>0.9041095890410958</x:v>
      </x:c>
      <x:c r="N25" s="74" t="n">
        <x:f>(N$6-$B$6)/365</x:f>
        <x:v>0.9863013698630136</x:v>
      </x:c>
      <x:c r="O25" s="74" t="n">
        <x:f>(O$6-$B$6)/365</x:f>
        <x:v>1.0712328767123287</x:v>
      </x:c>
      <x:c r="P25" s="74" t="n">
        <x:f>(P$6-$B$6)/365</x:f>
        <x:v>1.1534246575342466</x:v>
      </x:c>
      <x:c r="Q25" s="74" t="n">
        <x:f>(Q$6-$B$6)/365</x:f>
        <x:v>1.2383561643835617</x:v>
      </x:c>
      <x:c r="R25" s="74" t="n">
        <x:f>(R$6-$B$6)/365</x:f>
        <x:v>1.3232876712328767</x:v>
      </x:c>
      <x:c r="S25" s="74" t="n">
        <x:f>(S$6-$B$6)/365</x:f>
        <x:v>1.4027397260273973</x:v>
      </x:c>
      <x:c r="T25" s="74" t="n">
        <x:f>(T$6-$B$6)/365</x:f>
        <x:v>1.4876712328767123</x:v>
      </x:c>
      <x:c r="U25" s="74" t="n">
        <x:f>(U$6-$B$6)/365</x:f>
        <x:v>1.5698630136986302</x:v>
      </x:c>
      <x:c r="V25" s="74" t="n">
        <x:f>(V$6-$B$6)/365</x:f>
        <x:v>1.6547945205479453</x:v>
      </x:c>
      <x:c r="W25" s="74" t="n">
        <x:f>(W$6-$B$6)/365</x:f>
        <x:v>1.736986301369863</x:v>
      </x:c>
      <x:c r="X25" s="74" t="n">
        <x:f>(X$6-$B$6)/365</x:f>
        <x:v>1.821917808219178</x:v>
      </x:c>
      <x:c r="Y25" s="74" t="n">
        <x:f>(Y$6-$B$6)/365</x:f>
        <x:v>1.906849315068493</x:v>
      </x:c>
      <x:c r="Z25" s="74" t="n">
        <x:f>(Z$6-$B$6)/365</x:f>
        <x:v>1.989041095890411</x:v>
      </x:c>
      <x:c r="AA25" s="74" t="n">
        <x:f>(AA$6-$B$6)/365</x:f>
        <x:v>2.073972602739726</x:v>
      </x:c>
      <x:c r="AB25" s="74" t="n">
        <x:f>(AB$6-$B$6)/365</x:f>
        <x:v>2.1561643835616437</x:v>
      </x:c>
      <x:c r="AC25" s="74" t="n">
        <x:f>(AC$6-$B$6)/365</x:f>
        <x:v>2.241095890410959</x:v>
      </x:c>
      <x:c r="AD25" s="74" t="n">
        <x:f>(AD$6-$B$6)/365</x:f>
        <x:v>2.326027397260274</x:v>
      </x:c>
      <x:c r="AE25" s="74" t="n">
        <x:f>(AE$6-$B$6)/365</x:f>
        <x:v>2.4027397260273973</x:v>
      </x:c>
      <x:c r="AF25" s="74" t="n">
        <x:f>(AF$6-$B$6)/365</x:f>
        <x:v>2.4876712328767123</x:v>
      </x:c>
      <x:c r="AG25" s="74" t="n">
        <x:f>(AG$6-$B$6)/365</x:f>
        <x:v>2.56986301369863</x:v>
      </x:c>
      <x:c r="AH25" s="74" t="n">
        <x:f>(AH$6-$B$6)/365</x:f>
        <x:v>2.654794520547945</x:v>
      </x:c>
      <x:c r="AI25" s="74" t="n">
        <x:f>(AI$6-$B$6)/365</x:f>
        <x:v>2.736986301369863</x:v>
      </x:c>
      <x:c r="AJ25" s="74" t="n">
        <x:f>(AJ$6-$B$6)/365</x:f>
        <x:v>2.8219178082191783</x:v>
      </x:c>
      <x:c r="AK25" s="74" t="n">
        <x:f>(AK$6-$B$6)/365</x:f>
        <x:v>2.9068493150684933</x:v>
      </x:c>
      <x:c r="AL25" s="74" t="n">
        <x:f>(AL$6-$B$6)/365</x:f>
        <x:v>2.989041095890411</x:v>
      </x:c>
      <x:c r="AM25" s="74" t="n">
        <x:f>(AM$6-$B$6)/365</x:f>
        <x:v>3.073972602739726</x:v>
      </x:c>
      <x:c r="AN25" s="74" t="n">
        <x:f>(AN$6-$B$6)/365</x:f>
        <x:v>3.1561643835616437</x:v>
      </x:c>
      <x:c r="AO25" s="74" t="n">
        <x:f>(AO$6-$B$6)/365</x:f>
        <x:v>3.241095890410959</x:v>
      </x:c>
      <x:c r="AP25" s="74" t="n">
        <x:f>(AP$6-$B$6)/365</x:f>
        <x:v>3.326027397260274</x:v>
      </x:c>
      <x:c r="AQ25" s="74" t="n">
        <x:f>(AQ$6-$B$6)/365</x:f>
        <x:v>3.4027397260273973</x:v>
      </x:c>
      <x:c r="AR25" s="74" t="n">
        <x:f>(AR$6-$B$6)/365</x:f>
        <x:v>3.4876712328767123</x:v>
      </x:c>
      <x:c r="AS25" s="74" t="n">
        <x:f>(AS$6-$B$6)/365</x:f>
        <x:v>3.56986301369863</x:v>
      </x:c>
      <x:c r="AT25" s="74" t="n">
        <x:f>(AT$6-$B$6)/365</x:f>
        <x:v>3.654794520547945</x:v>
      </x:c>
      <x:c r="AU25" s="74" t="n">
        <x:f>(AU$6-$B$6)/365</x:f>
        <x:v>3.736986301369863</x:v>
      </x:c>
    </x:row>
    <x:row r="26">
      <x:c r="A26" s="15" t="str">
        <x:v>Discount factor</x:v>
      </x:c>
      <x:c r="B26" s="74" t="n">
        <x:v>1</x:v>
      </x:c>
      <x:c r="C26" s="74" t="n">
        <x:f>1/(1+'Assumptions'!$B$15)^C25</x:f>
        <x:v>0.9945328432416854</x:v>
      </x:c>
      <x:c r="D26" s="74" t="n">
        <x:f>1/(1+'Assumptions'!$B$15)^D25</x:f>
        <x:v>0.9882617161937525</x:v>
      </x:c>
      <x:c r="E26" s="74" t="n">
        <x:f>1/(1+'Assumptions'!$B$15)^E25</x:f>
        <x:v>0.9818230910156418</x:v>
      </x:c>
      <x:c r="F26" s="74" t="n">
        <x:f>1/(1+'Assumptions'!$B$15)^F25</x:f>
        <x:v>0.9754264141327091</x:v>
      </x:c>
      <x:c r="G26" s="74" t="n">
        <x:f>1/(1+'Assumptions'!$B$15)^G25</x:f>
        <x:v>0.9696845985878134</x:v>
      </x:c>
      <x:c r="H26" s="74" t="n">
        <x:f>1/(1+'Assumptions'!$B$15)^H25</x:f>
        <x:v>0.963367005212508</x:v>
      </x:c>
      <x:c r="I26" s="74" t="n">
        <x:f>1/(1+'Assumptions'!$B$15)^I25</x:f>
        <x:v>0.9572923974964044</x:v>
      </x:c>
      <x:c r="J26" s="74" t="n">
        <x:f>1/(1+'Assumptions'!$B$15)^J25</x:f>
        <x:v>0.9510555405663663</x:v>
      </x:c>
      <x:c r="K26" s="74" t="n">
        <x:f>1/(1+'Assumptions'!$B$15)^K25</x:f>
        <x:v>0.9450585640310396</x:v>
      </x:c>
      <x:c r="L26" s="74" t="n">
        <x:f>1/(1+'Assumptions'!$B$15)^L25</x:f>
        <x:v>0.9389014117651447</x:v>
      </x:c>
      <x:c r="M26" s="74" t="n">
        <x:f>1/(1+'Assumptions'!$B$15)^M25</x:f>
        <x:v>0.9327843739698959</x:v>
      </x:c>
      <x:c r="N26" s="74" t="n">
        <x:f>1/(1+'Assumptions'!$B$15)^N25</x:f>
        <x:v>0.9269026081164677</x:v>
      </x:c>
      <x:c r="O26" s="74" t="n">
        <x:f>1/(1+'Assumptions'!$B$15)^O25</x:f>
        <x:v>0.9208637437423012</x:v>
      </x:c>
      <x:c r="P26" s="74" t="n">
        <x:f>1/(1+'Assumptions'!$B$15)^P25</x:f>
        <x:v>0.9150571446238447</x:v>
      </x:c>
      <x:c r="Q26" s="74" t="n">
        <x:f>1/(1+'Assumptions'!$B$15)^Q25</x:f>
        <x:v>0.9090954546441126</x:v>
      </x:c>
      <x:c r="R26" s="74" t="n">
        <x:f>1/(1+'Assumptions'!$B$15)^R25</x:f>
        <x:v>0.9031726056784343</x:v>
      </x:c>
      <x:c r="S26" s="74" t="n">
        <x:f>1/(1+'Assumptions'!$B$15)^S25</x:f>
        <x:v>0.8976668148540056</x:v>
      </x:c>
      <x:c r="T26" s="74" t="n">
        <x:f>1/(1+'Assumptions'!$B$15)^T25</x:f>
        <x:v>0.8918184246341214</x:v>
      </x:c>
      <x:c r="U26" s="74" t="n">
        <x:f>1/(1+'Assumptions'!$B$15)^U25</x:f>
        <x:v>0.8861949737017837</x:v>
      </x:c>
      <x:c r="V26" s="74" t="n">
        <x:f>1/(1+'Assumptions'!$B$15)^V25</x:f>
        <x:v>0.8804213236889437</x:v>
      </x:c>
      <x:c r="W26" s="74" t="n">
        <x:f>1/(1+'Assumptions'!$B$15)^W25</x:f>
        <x:v>0.8748697383249388</x:v>
      </x:c>
      <x:c r="X26" s="74" t="n">
        <x:f>1/(1+'Assumptions'!$B$15)^X25</x:f>
        <x:v>0.8691698733676669</x:v>
      </x:c>
      <x:c r="Y26" s="74" t="n">
        <x:f>1/(1+'Assumptions'!$B$15)^Y25</x:f>
        <x:v>0.8635071436079085</x:v>
      </x:c>
      <x:c r="Z26" s="74" t="n">
        <x:f>1/(1+'Assumptions'!$B$15)^Z25</x:f>
        <x:v>0.858062212310605</x:v>
      </x:c>
      <x:c r="AA26" s="74" t="n">
        <x:f>1/(1+'Assumptions'!$B$15)^AA25</x:f>
        <x:v>0.8524718500876842</x:v>
      </x:c>
      <x:c r="AB26" s="74" t="n">
        <x:f>1/(1+'Assumptions'!$B$15)^AB25</x:f>
        <x:v>0.8470965029455415</x:v>
      </x:c>
      <x:c r="AC26" s="74" t="n">
        <x:f>1/(1+'Assumptions'!$B$15)^AC25</x:f>
        <x:v>0.8415775834298073</x:v>
      </x:c>
      <x:c r="AD26" s="74" t="n">
        <x:f>1/(1+'Assumptions'!$B$15)^AD25</x:f>
        <x:v>0.8360946202337075</x:v>
      </x:c>
      <x:c r="AE26" s="74" t="n">
        <x:f>1/(1+'Assumptions'!$B$15)^AE25</x:f>
        <x:v>0.8311729767166718</x:v>
      </x:c>
      <x:c r="AF26" s="74" t="n">
        <x:f>1/(1+'Assumptions'!$B$15)^AF25</x:f>
        <x:v>0.8257578005871494</x:v>
      </x:c>
      <x:c r="AG26" s="74" t="n">
        <x:f>1/(1+'Assumptions'!$B$15)^AG25</x:f>
        <x:v>0.8205509015757256</x:v>
      </x:c>
      <x:c r="AH26" s="74" t="n">
        <x:f>1/(1+'Assumptions'!$B$15)^AH25</x:f>
        <x:v>0.8152049293416144</x:v>
      </x:c>
      <x:c r="AI26" s="74" t="n">
        <x:f>1/(1+'Assumptions'!$B$15)^AI25</x:f>
        <x:v>0.8100645725230914</x:v>
      </x:c>
      <x:c r="AJ26" s="74" t="n">
        <x:f>1/(1+'Assumptions'!$B$15)^AJ25</x:f>
        <x:v>0.8047869197848767</x:v>
      </x:c>
      <x:c r="AK26" s="74" t="n">
        <x:f>1/(1+'Assumptions'!$B$15)^AK25</x:f>
        <x:v>0.799543651488804</x:v>
      </x:c>
      <x:c r="AL26" s="74" t="n">
        <x:f>1/(1+'Assumptions'!$B$15)^AL25</x:f>
        <x:v>0.7945020484357452</x:v>
      </x:c>
      <x:c r="AM26" s="74" t="n">
        <x:f>1/(1+'Assumptions'!$B$15)^AM25</x:f>
        <x:v>0.7893257871182261</x:v>
      </x:c>
      <x:c r="AN26" s="74" t="n">
        <x:f>1/(1+'Assumptions'!$B$15)^AN25</x:f>
        <x:v>0.7843486138384642</x:v>
      </x:c>
      <x:c r="AO26" s="74" t="n">
        <x:f>1/(1+'Assumptions'!$B$15)^AO25</x:f>
        <x:v>0.7792385031757474</x:v>
      </x:c>
      <x:c r="AP26" s="74" t="n">
        <x:f>1/(1+'Assumptions'!$B$15)^AP25</x:f>
        <x:v>0.774161685401581</x:v>
      </x:c>
      <x:c r="AQ26" s="74" t="n">
        <x:f>1/(1+'Assumptions'!$B$15)^AQ25</x:f>
        <x:v>0.7696046080709924</x:v>
      </x:c>
      <x:c r="AR26" s="74" t="n">
        <x:f>1/(1+'Assumptions'!$B$15)^AR25</x:f>
        <x:v>0.7645905560992123</x:v>
      </x:c>
      <x:c r="AS26" s="74" t="n">
        <x:f>1/(1+'Assumptions'!$B$15)^AS25</x:f>
        <x:v>0.759769353310857</x:v>
      </x:c>
      <x:c r="AT26" s="74" t="n">
        <x:f>1/(1+'Assumptions'!$B$15)^AT25</x:f>
        <x:v>0.7548193790200133</x:v>
      </x:c>
      <x:c r="AU26" s="74" t="n">
        <x:f>1/(1+'Assumptions'!$B$15)^AU25</x:f>
        <x:v>0.7500597893732327</x:v>
      </x:c>
    </x:row>
    <x:row r="27">
      <x:c r="A27" s="76" t="str">
        <x:v>PV of net cash flow</x:v>
      </x:c>
      <x:c r="B27" s="77" t="n">
        <x:v>0</x:v>
      </x:c>
      <x:c r="C27" s="77" t="n">
        <x:f>C24*C26</x:f>
        <x:v>-0.1155188228378551</x:v>
      </x:c>
      <x:c r="D27" s="77" t="n">
        <x:f>D24*D26</x:f>
        <x:v>-0.2771694022062028</x:v>
      </x:c>
      <x:c r="E27" s="77" t="n">
        <x:f>E24*E26</x:f>
        <x:v>-0.18299672181707535</x:v>
      </x:c>
      <x:c r="F27" s="77" t="n">
        <x:f>F24*F26</x:f>
        <x:v>-0.36918083429711684</x:v>
      </x:c>
      <x:c r="G27" s="77" t="n">
        <x:f>G24*G26</x:f>
        <x:v>-0.32049871695546844</x:v>
      </x:c>
      <x:c r="H27" s="77" t="n">
        <x:f>H24*H26</x:f>
        <x:v>-0.1968191795889147</x:v>
      </x:c>
      <x:c r="I27" s="77" t="n">
        <x:f>I24*I26</x:f>
        <x:v>-0.15267587209183356</x:v>
      </x:c>
      <x:c r="J27" s="77" t="n">
        <x:f>J24*J26</x:f>
        <x:v>-0.12725448957361324</x:v>
      </x:c>
      <x:c r="K27" s="77" t="n">
        <x:f>K24*K26</x:f>
        <x:v>-0.139779816658126</x:v>
      </x:c>
      <x:c r="L27" s="77" t="n">
        <x:f>L24*L26</x:f>
        <x:v>-0.09546595874442364</x:v>
      </x:c>
      <x:c r="M27" s="77" t="n">
        <x:f>M24*M26</x:f>
        <x:v>-0.03654496498071702</x:v>
      </x:c>
      <x:c r="N27" s="77" t="n">
        <x:f>N24*N26</x:f>
        <x:v>-0.03631452702191686</x:v>
      </x:c>
      <x:c r="O27" s="77" t="n">
        <x:f>O24*O26</x:f>
        <x:v>-0.036077934200214705</x:v>
      </x:c>
      <x:c r="P27" s="77" t="n">
        <x:f>P24*P26</x:f>
        <x:v>-0.03585044115105702</x:v>
      </x:c>
      <x:c r="Q27" s="77" t="n">
        <x:f>Q24*Q26</x:f>
        <x:v>-0.035616871895808935</x:v>
      </x:c>
      <x:c r="R27" s="77" t="n">
        <x:f>R24*R26</x:f>
        <x:v>-0.03538482436791609</x:v>
      </x:c>
      <x:c r="S27" s="77" t="n">
        <x:f>S24*S26</x:f>
        <x:v>-0.03516911649535218</x:v>
      </x:c>
      <x:c r="T27" s="77" t="n">
        <x:f>T24*T26</x:f>
        <x:v>-0.034939986139244684</x:v>
      </x:c>
      <x:c r="U27" s="77" t="n">
        <x:f>U24*U26</x:f>
        <x:v>-0.03471966853624022</x:v>
      </x:c>
      <x:c r="V27" s="77" t="n">
        <x:f>V24*V26</x:f>
        <x:v>-0.014699433398046186</x:v>
      </x:c>
      <x:c r="W27" s="77" t="n">
        <x:f>W24*W26</x:f>
        <x:v>-0.014606744639702811</x:v>
      </x:c>
      <x:c r="X27" s="77" t="n">
        <x:f>X24*X26</x:f>
        <x:v>0.031084256204983184</x:v>
      </x:c>
      <x:c r="Y27" s="77" t="n">
        <x:f>Y24*Y26</x:f>
        <x:v>0.030881739127406733</x:v>
      </x:c>
      <x:c r="Z27" s="77" t="n">
        <x:f>Z24*Z26</x:f>
        <x:v>0.030687011209827014</x:v>
      </x:c>
      <x:c r="AA27" s="77" t="n">
        <x:f>AA24*AA26</x:f>
        <x:v>0.030487082223629374</x:v>
      </x:c>
      <x:c r="AB27" s="77" t="n">
        <x:f>AB24*AB26</x:f>
        <x:v>0.030294842854920366</x:v>
      </x:c>
      <x:c r="AC27" s="77" t="n">
        <x:f>AC24*AC26</x:f>
        <x:v>0.03009746888527612</x:v>
      </x:c>
      <x:c r="AD27" s="77" t="n">
        <x:f>AD24*AD26</x:f>
        <x:v>0.02990138082703533</x:v>
      </x:c>
      <x:c r="AE27" s="77" t="n">
        <x:f>AE24*AE26</x:f>
        <x:v>0.02972536733103094</x:v>
      </x:c>
      <x:c r="AF27" s="77" t="n">
        <x:f>AF24*AF26</x:f>
        <x:v>0.02953170355210475</x:v>
      </x:c>
      <x:c r="AG27" s="77" t="n">
        <x:f>AG24*AG26</x:f>
        <x:v>0.029345488419868906</x:v>
      </x:c>
      <x:c r="AH27" s="77" t="n">
        <x:f>AH24*AH26</x:f>
        <x:v>0.029154299590525363</x:v>
      </x:c>
      <x:c r="AI27" s="77" t="n">
        <x:f>AI24*AI26</x:f>
        <x:v>0.028970464216994864</x:v>
      </x:c>
      <x:c r="AJ27" s="77" t="n">
        <x:f>AJ24*AJ26</x:f>
        <x:v>0.07703128106165012</x:v>
      </x:c>
      <x:c r="AK27" s="77" t="n">
        <x:f>AK24*AK26</x:f>
        <x:v>0.07652941446334063</x:v>
      </x:c>
      <x:c r="AL27" s="77" t="n">
        <x:f>AL24*AL26</x:f>
        <x:v>0.0760468505296658</x:v>
      </x:c>
      <x:c r="AM27" s="77" t="n">
        <x:f>AM24*AM26</x:f>
        <x:v>0.07555139759598124</x:v>
      </x:c>
      <x:c r="AN27" s="77" t="n">
        <x:f>AN24*AN26</x:f>
        <x:v>0.07507500064620434</x:v>
      </x:c>
      <x:c r="AO27" s="77" t="n">
        <x:f>AO24*AO26</x:f>
        <x:v>0.07458587941294535</x:v>
      </x:c>
      <x:c r="AP27" s="77" t="n">
        <x:f>AP24*AP26</x:f>
        <x:v>0.07409994485406221</x:v>
      </x:c>
      <x:c r="AQ27" s="77" t="n">
        <x:f>AQ24*AQ26</x:f>
        <x:v>0.07366375796279653</x:v>
      </x:c>
      <x:c r="AR27" s="77" t="n">
        <x:f>AR24*AR26</x:f>
        <x:v>0.07318383111855911</x:v>
      </x:c>
      <x:c r="AS27" s="77" t="n">
        <x:f>AS24*AS26</x:f>
        <x:v>0.07272236309775146</x:v>
      </x:c>
      <x:c r="AT27" s="77" t="n">
        <x:f>AT24*AT26</x:f>
        <x:v>0.07224856953640997</x:v>
      </x:c>
      <x:c r="AU27" s="77" t="n">
        <x:f>AU24*AU26</x:f>
        <x:v>0.07179299890174151</x:v>
      </x:c>
    </x:row>
    <x:row r="28">
      <x:c r="A28" s="15" t="str">
        <x:v>PV of benefits</x:v>
      </x:c>
      <x:c r="B28" s="74" t="n">
        <x:v>0</x:v>
      </x:c>
      <x:c r="C28" s="74" t="n">
        <x:f>C22*C26</x:f>
        <x:v>0</x:v>
      </x:c>
      <x:c r="D28" s="74" t="n">
        <x:f>D22*D26</x:f>
        <x:v>0</x:v>
      </x:c>
      <x:c r="E28" s="74" t="n">
        <x:f>E22*E26</x:f>
        <x:v>0</x:v>
      </x:c>
      <x:c r="F28" s="74" t="n">
        <x:f>F22*F26</x:f>
        <x:v>0</x:v>
      </x:c>
      <x:c r="G28" s="74" t="n">
        <x:f>G22*G26</x:f>
        <x:v>0</x:v>
      </x:c>
      <x:c r="H28" s="74" t="n">
        <x:f>H22*H26</x:f>
        <x:v>0</x:v>
      </x:c>
      <x:c r="I28" s="74" t="n">
        <x:f>I22*I26</x:f>
        <x:v>0</x:v>
      </x:c>
      <x:c r="J28" s="74" t="n">
        <x:f>J22*J26</x:f>
        <x:v>0</x:v>
      </x:c>
      <x:c r="K28" s="74" t="n">
        <x:f>K22*K26</x:f>
        <x:v>0</x:v>
      </x:c>
      <x:c r="L28" s="74" t="n">
        <x:f>L22*L26</x:f>
        <x:v>0.014072539294843247</x:v>
      </x:c>
      <x:c r="M28" s="74" t="n">
        <x:f>M22*M26</x:f>
        <x:v>0.013980855275985672</x:v>
      </x:c>
      <x:c r="N28" s="74" t="n">
        <x:f>N22*N26</x:f>
        <x:v>0.013892697584391808</x:v>
      </x:c>
      <x:c r="O28" s="74" t="n">
        <x:f>O22*O26</x:f>
        <x:v>0.013802185252493274</x:v>
      </x:c>
      <x:c r="P28" s="74" t="n">
        <x:f>P22*P26</x:f>
        <x:v>0.013715154182734567</x:v>
      </x:c>
      <x:c r="Q28" s="74" t="n">
        <x:f>Q22*Q26</x:f>
        <x:v>0.013625798564080497</x:v>
      </x:c>
      <x:c r="R28" s="74" t="n">
        <x:f>R22*R26</x:f>
        <x:v>0.013537025106332435</x:v>
      </x:c>
      <x:c r="S28" s="74" t="n">
        <x:f>S22*S26</x:f>
        <x:v>0.013454502642573118</x:v>
      </x:c>
      <x:c r="T28" s="74" t="n">
        <x:f>T22*T26</x:f>
        <x:v>0.01336684519510356</x:v>
      </x:c>
      <x:c r="U28" s="74" t="n">
        <x:f>U22*U26</x:f>
        <x:v>0.013282559205939726</x:v>
      </x:c>
      <x:c r="V28" s="74" t="n">
        <x:f>V22*V26</x:f>
        <x:v>0.032990054968438265</x:v>
      </x:c>
      <x:c r="W28" s="74" t="n">
        <x:f>W22*W26</x:f>
        <x:v>0.03278203285289804</x:v>
      </x:c>
      <x:c r="X28" s="74" t="n">
        <x:f>X22*X26</x:f>
        <x:v>0.07816429101239848</x:v>
      </x:c>
      <x:c r="Y28" s="74" t="n">
        <x:f>Y22*Y26</x:f>
        <x:v>0.07765504273950177</x:v>
      </x:c>
      <x:c r="Z28" s="74" t="n">
        <x:f>Z22*Z26</x:f>
        <x:v>0.07716538104331812</x:v>
      </x:c>
      <x:c r="AA28" s="74" t="n">
        <x:f>AA22*AA26</x:f>
        <x:v>0.0766626407700456</x:v>
      </x:c>
      <x:c r="AB28" s="74" t="n">
        <x:f>AB22*AB26</x:f>
        <x:v>0.07617923676447053</x:v>
      </x:c>
      <x:c r="AC28" s="74" t="n">
        <x:f>AC22*AC26</x:f>
        <x:v>0.07568292132105735</x:v>
      </x:c>
      <x:c r="AD28" s="74" t="n">
        <x:f>AD22*AD26</x:f>
        <x:v>0.07518983942302782</x:v>
      </x:c>
      <x:c r="AE28" s="74" t="n">
        <x:f>AE22*AE26</x:f>
        <x:v>0.074747236903184</x:v>
      </x:c>
      <x:c r="AF28" s="74" t="n">
        <x:f>AF22*AF26</x:f>
        <x:v>0.07426025108390868</x:v>
      </x:c>
      <x:c r="AG28" s="74" t="n">
        <x:f>AG22*AG26</x:f>
        <x:v>0.07379199558855405</x:v>
      </x:c>
      <x:c r="AH28" s="74" t="n">
        <x:f>AH22*AH26</x:f>
        <x:v>0.07331123326319615</x:v>
      </x:c>
      <x:c r="AI28" s="74" t="n">
        <x:f>AI22*AI26</x:f>
        <x:v>0.07284896189532898</x:v>
      </x:c>
      <x:c r="AJ28" s="74" t="n">
        <x:f>AJ22*AJ26</x:f>
        <x:v>0.12062390588333095</x:v>
      </x:c>
      <x:c r="AK28" s="74" t="n">
        <x:f>AK22*AK26</x:f>
        <x:v>0.11983802891898418</x:v>
      </x:c>
      <x:c r="AL28" s="74" t="n">
        <x:f>AL22*AL26</x:f>
        <x:v>0.11908237815326866</x:v>
      </x:c>
      <x:c r="AM28" s="74" t="n">
        <x:f>AM22*AM26</x:f>
        <x:v>0.1183065443982185</x:v>
      </x:c>
      <x:c r="AN28" s="74" t="n">
        <x:f>AN22*AN26</x:f>
        <x:v>0.11756055056245449</x:v>
      </x:c>
      <x:c r="AO28" s="74" t="n">
        <x:f>AO22*AO26</x:f>
        <x:v>0.11679463166829834</x:v>
      </x:c>
      <x:c r="AP28" s="74" t="n">
        <x:f>AP22*AP26</x:f>
        <x:v>0.11603370281331452</x:v>
      </x:c>
      <x:c r="AQ28" s="74" t="n">
        <x:f>AQ22*AQ26</x:f>
        <x:v>0.11535067423330862</x:v>
      </x:c>
      <x:c r="AR28" s="74" t="n">
        <x:f>AR22*AR26</x:f>
        <x:v>0.11459915290726644</x:v>
      </x:c>
      <x:c r="AS28" s="74" t="n">
        <x:f>AS22*AS26</x:f>
        <x:v>0.11387653640208956</x:v>
      </x:c>
      <x:c r="AT28" s="74" t="n">
        <x:f>AT22*AT26</x:f>
        <x:v>0.11313461923332736</x:v>
      </x:c>
      <x:c r="AU28" s="74" t="n">
        <x:f>AU22*AU26</x:f>
        <x:v>0.1124212374927916</x:v>
      </x:c>
    </x:row>
    <x:row r="29">
      <x:c r="A29" s="76" t="str">
        <x:v>PV of costs</x:v>
      </x:c>
      <x:c r="B29" s="77" t="n">
        <x:v>0</x:v>
      </x:c>
      <x:c r="C29" s="77" t="n">
        <x:f>(C11+C23)*C26</x:f>
        <x:v>0.1155188228378551</x:v>
      </x:c>
      <x:c r="D29" s="77" t="n">
        <x:f>(D11+D23)*D26</x:f>
        <x:v>0.2771694022062028</x:v>
      </x:c>
      <x:c r="E29" s="77" t="n">
        <x:f>(E11+E23)*E26</x:f>
        <x:v>0.18299672181707535</x:v>
      </x:c>
      <x:c r="F29" s="77" t="n">
        <x:f>(F11+F23)*F26</x:f>
        <x:v>0.36918083429711684</x:v>
      </x:c>
      <x:c r="G29" s="77" t="n">
        <x:f>(G11+G23)*G26</x:f>
        <x:v>0.32049871695546844</x:v>
      </x:c>
      <x:c r="H29" s="77" t="n">
        <x:f>(H11+H23)*H26</x:f>
        <x:v>0.1968191795889147</x:v>
      </x:c>
      <x:c r="I29" s="77" t="n">
        <x:f>(I11+I23)*I26</x:f>
        <x:v>0.15267587209183356</x:v>
      </x:c>
      <x:c r="J29" s="77" t="n">
        <x:f>(J11+J23)*J26</x:f>
        <x:v>0.12725448957361324</x:v>
      </x:c>
      <x:c r="K29" s="77" t="n">
        <x:f>(K11+K23)*K26</x:f>
        <x:v>0.139779816658126</x:v>
      </x:c>
      <x:c r="L29" s="77" t="n">
        <x:f>(L11+L23)*L26</x:f>
        <x:v>0.1095384980392669</x:v>
      </x:c>
      <x:c r="M29" s="77" t="n">
        <x:f>(M11+M23)*M26</x:f>
        <x:v>0.05052582025670269</x:v>
      </x:c>
      <x:c r="N29" s="77" t="n">
        <x:f>(N11+N23)*N26</x:f>
        <x:v>0.05020722460630867</x:v>
      </x:c>
      <x:c r="O29" s="77" t="n">
        <x:f>(O11+O23)*O26</x:f>
        <x:v>0.04988011945270798</x:v>
      </x:c>
      <x:c r="P29" s="77" t="n">
        <x:f>(P11+P23)*P26</x:f>
        <x:v>0.04956559533379159</x:v>
      </x:c>
      <x:c r="Q29" s="77" t="n">
        <x:f>(Q11+Q23)*Q26</x:f>
        <x:v>0.049242670459889434</x:v>
      </x:c>
      <x:c r="R29" s="77" t="n">
        <x:f>(R11+R23)*R26</x:f>
        <x:v>0.048921849474248526</x:v>
      </x:c>
      <x:c r="S29" s="77" t="n">
        <x:f>(S11+S23)*S26</x:f>
        <x:v>0.0486236191379253</x:v>
      </x:c>
      <x:c r="T29" s="77" t="n">
        <x:f>(T11+T23)*T26</x:f>
        <x:v>0.048306831334348245</x:v>
      </x:c>
      <x:c r="U29" s="77" t="n">
        <x:f>(U11+U23)*U26</x:f>
        <x:v>0.04800222774217995</x:v>
      </x:c>
      <x:c r="V29" s="77" t="n">
        <x:f>(V11+V23)*V26</x:f>
        <x:v>0.04768948836648445</x:v>
      </x:c>
      <x:c r="W29" s="77" t="n">
        <x:f>(W11+W23)*W26</x:f>
        <x:v>0.04738877749260085</x:v>
      </x:c>
      <x:c r="X29" s="77" t="n">
        <x:f>(X11+X23)*X26</x:f>
        <x:v>0.047080034807415294</x:v>
      </x:c>
      <x:c r="Y29" s="77" t="n">
        <x:f>(Y11+Y23)*Y26</x:f>
        <x:v>0.046773303612095044</x:v>
      </x:c>
      <x:c r="Z29" s="77" t="n">
        <x:f>(Z11+Z23)*Z26</x:f>
        <x:v>0.0464783698334911</x:v>
      </x:c>
      <x:c r="AA29" s="77" t="n">
        <x:f>(AA11+AA23)*AA26</x:f>
        <x:v>0.04617555854641623</x:v>
      </x:c>
      <x:c r="AB29" s="77" t="n">
        <x:f>(AB11+AB23)*AB26</x:f>
        <x:v>0.04588439390955017</x:v>
      </x:c>
      <x:c r="AC29" s="77" t="n">
        <x:f>(AC11+AC23)*AC26</x:f>
        <x:v>0.04558545243578123</x:v>
      </x:c>
      <x:c r="AD29" s="77" t="n">
        <x:f>(AD11+AD23)*AD26</x:f>
        <x:v>0.04528845859599249</x:v>
      </x:c>
      <x:c r="AE29" s="77" t="n">
        <x:f>(AE11+AE23)*AE26</x:f>
        <x:v>0.04502186957215305</x:v>
      </x:c>
      <x:c r="AF29" s="77" t="n">
        <x:f>(AF11+AF23)*AF26</x:f>
        <x:v>0.04472854753180393</x:v>
      </x:c>
      <x:c r="AG29" s="77" t="n">
        <x:f>(AG11+AG23)*AG26</x:f>
        <x:v>0.04444650716868514</x:v>
      </x:c>
      <x:c r="AH29" s="77" t="n">
        <x:f>(AH11+AH23)*AH26</x:f>
        <x:v>0.04415693367267078</x:v>
      </x:c>
      <x:c r="AI29" s="77" t="n">
        <x:f>(AI11+AI23)*AI26</x:f>
        <x:v>0.04387849767833412</x:v>
      </x:c>
      <x:c r="AJ29" s="77" t="n">
        <x:f>(AJ11+AJ23)*AJ26</x:f>
        <x:v>0.043592624821680824</x:v>
      </x:c>
      <x:c r="AK29" s="77" t="n">
        <x:f>(AK11+AK23)*AK26</x:f>
        <x:v>0.04330861445564355</x:v>
      </x:c>
      <x:c r="AL29" s="77" t="n">
        <x:f>(AL11+AL23)*AL26</x:f>
        <x:v>0.04303552762360287</x:v>
      </x:c>
      <x:c r="AM29" s="77" t="n">
        <x:f>(AM11+AM23)*AM26</x:f>
        <x:v>0.04275514680223725</x:v>
      </x:c>
      <x:c r="AN29" s="77" t="n">
        <x:f>(AN11+AN23)*AN26</x:f>
        <x:v>0.04248554991625015</x:v>
      </x:c>
      <x:c r="AO29" s="77" t="n">
        <x:f>(AO11+AO23)*AO26</x:f>
        <x:v>0.042208752255352984</x:v>
      </x:c>
      <x:c r="AP29" s="77" t="n">
        <x:f>(AP11+AP23)*AP26</x:f>
        <x:v>0.041933757959252305</x:v>
      </x:c>
      <x:c r="AQ29" s="77" t="n">
        <x:f>(AQ11+AQ23)*AQ26</x:f>
        <x:v>0.04168691627051209</x:v>
      </x:c>
      <x:c r="AR29" s="77" t="n">
        <x:f>(AR11+AR23)*AR26</x:f>
        <x:v>0.041415321788707334</x:v>
      </x:c>
      <x:c r="AS29" s="77" t="n">
        <x:f>(AS11+AS23)*AS26</x:f>
        <x:v>0.04115417330433809</x:v>
      </x:c>
      <x:c r="AT29" s="77" t="n">
        <x:f>(AT11+AT23)*AT26</x:f>
        <x:v>0.040886049696917386</x:v>
      </x:c>
      <x:c r="AU29" s="77" t="n">
        <x:f>(AU11+AU23)*AU26</x:f>
        <x:v>0.04062823859105011</x:v>
      </x:c>
    </x:row>
    <x:row r="30">
      <x:c r="A30" s="15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4"/>
      <x:c r="AA30" s="74"/>
      <x:c r="AB30" s="74"/>
      <x:c r="AC30" s="74"/>
      <x:c r="AD30" s="74"/>
      <x:c r="AE30" s="74"/>
      <x:c r="AF30" s="74"/>
      <x:c r="AG30" s="74"/>
      <x:c r="AH30" s="74"/>
      <x:c r="AI30" s="74"/>
      <x:c r="AJ30" s="74"/>
      <x:c r="AK30" s="74"/>
      <x:c r="AL30" s="74"/>
      <x:c r="AM30" s="74"/>
      <x:c r="AN30" s="74"/>
      <x:c r="AO30" s="74"/>
      <x:c r="AP30" s="74"/>
      <x:c r="AQ30" s="74"/>
      <x:c r="AR30" s="74"/>
      <x:c r="AS30" s="74"/>
      <x:c r="AT30" s="74"/>
      <x:c r="AU30" s="74"/>
    </x:row>
    <x:row r="31">
      <x:c r="A31" s="15" t="str">
        <x:v>Exposure: 3-month wave delay</x:v>
      </x:c>
      <x:c r="B31" s="75" t="n">
        <x:v>0</x:v>
      </x:c>
      <x:c r="C31" s="75" t="n">
        <x:f>0</x:f>
        <x:v>0</x:v>
      </x:c>
      <x:c r="D31" s="75" t="n">
        <x:f>0</x:f>
        <x:v>0</x:v>
      </x:c>
      <x:c r="E31" s="75" t="n">
        <x:f>0</x:f>
        <x:v>0</x:v>
      </x:c>
      <x:c r="F31" s="75" t="n">
        <x:f>C16</x:f>
        <x:v>0</x:v>
      </x:c>
      <x:c r="G31" s="75" t="n">
        <x:f>D16</x:f>
        <x:v>0</x:v>
      </x:c>
      <x:c r="H31" s="75" t="n">
        <x:f>E16</x:f>
        <x:v>0</x:v>
      </x:c>
      <x:c r="I31" s="75" t="n">
        <x:f>F16</x:f>
        <x:v>0</x:v>
      </x:c>
      <x:c r="J31" s="75" t="n">
        <x:f>G16</x:f>
        <x:v>0</x:v>
      </x:c>
      <x:c r="K31" s="75" t="n">
        <x:f>H16</x:f>
        <x:v>0</x:v>
      </x:c>
      <x:c r="L31" s="75" t="n">
        <x:f>I16</x:f>
        <x:v>0</x:v>
      </x:c>
      <x:c r="M31" s="75" t="n">
        <x:f>J16</x:f>
        <x:v>0</x:v>
      </x:c>
      <x:c r="N31" s="75" t="n">
        <x:f>K16</x:f>
        <x:v>0</x:v>
      </x:c>
      <x:c r="O31" s="75" t="n">
        <x:f>L16</x:f>
        <x:v>0.1</x:v>
      </x:c>
      <x:c r="P31" s="75" t="n">
        <x:f>M16</x:f>
        <x:v>0.1</x:v>
      </x:c>
      <x:c r="Q31" s="75" t="n">
        <x:f>N16</x:f>
        <x:v>0.1</x:v>
      </x:c>
      <x:c r="R31" s="75" t="n">
        <x:f>O16</x:f>
        <x:v>0.1</x:v>
      </x:c>
      <x:c r="S31" s="75" t="n">
        <x:f>P16</x:f>
        <x:v>0.1</x:v>
      </x:c>
      <x:c r="T31" s="75" t="n">
        <x:f>Q16</x:f>
        <x:v>0.1</x:v>
      </x:c>
      <x:c r="U31" s="75" t="n">
        <x:f>R16</x:f>
        <x:v>0.1</x:v>
      </x:c>
      <x:c r="V31" s="75" t="n">
        <x:f>S16</x:f>
        <x:v>0.1</x:v>
      </x:c>
      <x:c r="W31" s="75" t="n">
        <x:f>T16</x:f>
        <x:v>0.1</x:v>
      </x:c>
      <x:c r="X31" s="75" t="n">
        <x:f>U16</x:f>
        <x:v>0.1</x:v>
      </x:c>
      <x:c r="Y31" s="75" t="n">
        <x:f>V16</x:f>
        <x:v>0.25</x:v>
      </x:c>
      <x:c r="Z31" s="75" t="n">
        <x:f>W16</x:f>
        <x:v>0.25</x:v>
      </x:c>
      <x:c r="AA31" s="75" t="n">
        <x:f>X16</x:f>
        <x:v>0.6</x:v>
      </x:c>
      <x:c r="AB31" s="75" t="n">
        <x:f>Y16</x:f>
        <x:v>0.6</x:v>
      </x:c>
      <x:c r="AC31" s="75" t="n">
        <x:f>Z16</x:f>
        <x:v>0.6</x:v>
      </x:c>
      <x:c r="AD31" s="75" t="n">
        <x:f>AA16</x:f>
        <x:v>0.6</x:v>
      </x:c>
      <x:c r="AE31" s="75" t="n">
        <x:f>AB16</x:f>
        <x:v>0.6</x:v>
      </x:c>
      <x:c r="AF31" s="75" t="n">
        <x:f>AC16</x:f>
        <x:v>0.6</x:v>
      </x:c>
      <x:c r="AG31" s="75" t="n">
        <x:f>AD16</x:f>
        <x:v>0.6</x:v>
      </x:c>
      <x:c r="AH31" s="75" t="n">
        <x:f>AE16</x:f>
        <x:v>0.6</x:v>
      </x:c>
      <x:c r="AI31" s="75" t="n">
        <x:f>AF16</x:f>
        <x:v>0.6</x:v>
      </x:c>
      <x:c r="AJ31" s="75" t="n">
        <x:f>AG16</x:f>
        <x:v>0.6</x:v>
      </x:c>
      <x:c r="AK31" s="75" t="n">
        <x:f>AH16</x:f>
        <x:v>0.6</x:v>
      </x:c>
      <x:c r="AL31" s="75" t="n">
        <x:f>AI16</x:f>
        <x:v>0.6</x:v>
      </x:c>
      <x:c r="AM31" s="75" t="n">
        <x:f>AJ16</x:f>
        <x:v>1</x:v>
      </x:c>
      <x:c r="AN31" s="75" t="n">
        <x:f>AK16</x:f>
        <x:v>1</x:v>
      </x:c>
      <x:c r="AO31" s="75" t="n">
        <x:f>AL16</x:f>
        <x:v>1</x:v>
      </x:c>
      <x:c r="AP31" s="75" t="n">
        <x:f>AM16</x:f>
        <x:v>1</x:v>
      </x:c>
      <x:c r="AQ31" s="75" t="n">
        <x:f>AN16</x:f>
        <x:v>1</x:v>
      </x:c>
      <x:c r="AR31" s="75" t="n">
        <x:f>AO16</x:f>
        <x:v>1</x:v>
      </x:c>
      <x:c r="AS31" s="75" t="n">
        <x:f>AP16</x:f>
        <x:v>1</x:v>
      </x:c>
      <x:c r="AT31" s="75" t="n">
        <x:f>AQ16</x:f>
        <x:v>1</x:v>
      </x:c>
      <x:c r="AU31" s="75" t="n">
        <x:f>AR16</x:f>
        <x:v>1</x:v>
      </x:c>
    </x:row>
    <x:row r="32">
      <x:c r="A32" s="15" t="str">
        <x:v>Exposure: 6-month wave delay</x:v>
      </x:c>
      <x:c r="B32" s="75" t="n">
        <x:v>0</x:v>
      </x:c>
      <x:c r="C32" s="75" t="n">
        <x:f>0</x:f>
        <x:v>0</x:v>
      </x:c>
      <x:c r="D32" s="75" t="n">
        <x:f>0</x:f>
        <x:v>0</x:v>
      </x:c>
      <x:c r="E32" s="75" t="n">
        <x:f>0</x:f>
        <x:v>0</x:v>
      </x:c>
      <x:c r="F32" s="75" t="n">
        <x:f>0</x:f>
        <x:v>0</x:v>
      </x:c>
      <x:c r="G32" s="75" t="n">
        <x:f>0</x:f>
        <x:v>0</x:v>
      </x:c>
      <x:c r="H32" s="75" t="n">
        <x:f>0</x:f>
        <x:v>0</x:v>
      </x:c>
      <x:c r="I32" s="75" t="n">
        <x:f>C16</x:f>
        <x:v>0</x:v>
      </x:c>
      <x:c r="J32" s="75" t="n">
        <x:f>D16</x:f>
        <x:v>0</x:v>
      </x:c>
      <x:c r="K32" s="75" t="n">
        <x:f>E16</x:f>
        <x:v>0</x:v>
      </x:c>
      <x:c r="L32" s="75" t="n">
        <x:f>F16</x:f>
        <x:v>0</x:v>
      </x:c>
      <x:c r="M32" s="75" t="n">
        <x:f>G16</x:f>
        <x:v>0</x:v>
      </x:c>
      <x:c r="N32" s="75" t="n">
        <x:f>H16</x:f>
        <x:v>0</x:v>
      </x:c>
      <x:c r="O32" s="75" t="n">
        <x:f>I16</x:f>
        <x:v>0</x:v>
      </x:c>
      <x:c r="P32" s="75" t="n">
        <x:f>J16</x:f>
        <x:v>0</x:v>
      </x:c>
      <x:c r="Q32" s="75" t="n">
        <x:f>K16</x:f>
        <x:v>0</x:v>
      </x:c>
      <x:c r="R32" s="75" t="n">
        <x:f>L16</x:f>
        <x:v>0.1</x:v>
      </x:c>
      <x:c r="S32" s="75" t="n">
        <x:f>M16</x:f>
        <x:v>0.1</x:v>
      </x:c>
      <x:c r="T32" s="75" t="n">
        <x:f>N16</x:f>
        <x:v>0.1</x:v>
      </x:c>
      <x:c r="U32" s="75" t="n">
        <x:f>O16</x:f>
        <x:v>0.1</x:v>
      </x:c>
      <x:c r="V32" s="75" t="n">
        <x:f>P16</x:f>
        <x:v>0.1</x:v>
      </x:c>
      <x:c r="W32" s="75" t="n">
        <x:f>Q16</x:f>
        <x:v>0.1</x:v>
      </x:c>
      <x:c r="X32" s="75" t="n">
        <x:f>R16</x:f>
        <x:v>0.1</x:v>
      </x:c>
      <x:c r="Y32" s="75" t="n">
        <x:f>S16</x:f>
        <x:v>0.1</x:v>
      </x:c>
      <x:c r="Z32" s="75" t="n">
        <x:f>T16</x:f>
        <x:v>0.1</x:v>
      </x:c>
      <x:c r="AA32" s="75" t="n">
        <x:f>U16</x:f>
        <x:v>0.1</x:v>
      </x:c>
      <x:c r="AB32" s="75" t="n">
        <x:f>V16</x:f>
        <x:v>0.25</x:v>
      </x:c>
      <x:c r="AC32" s="75" t="n">
        <x:f>W16</x:f>
        <x:v>0.25</x:v>
      </x:c>
      <x:c r="AD32" s="75" t="n">
        <x:f>X16</x:f>
        <x:v>0.6</x:v>
      </x:c>
      <x:c r="AE32" s="75" t="n">
        <x:f>Y16</x:f>
        <x:v>0.6</x:v>
      </x:c>
      <x:c r="AF32" s="75" t="n">
        <x:f>Z16</x:f>
        <x:v>0.6</x:v>
      </x:c>
      <x:c r="AG32" s="75" t="n">
        <x:f>AA16</x:f>
        <x:v>0.6</x:v>
      </x:c>
      <x:c r="AH32" s="75" t="n">
        <x:f>AB16</x:f>
        <x:v>0.6</x:v>
      </x:c>
      <x:c r="AI32" s="75" t="n">
        <x:f>AC16</x:f>
        <x:v>0.6</x:v>
      </x:c>
      <x:c r="AJ32" s="75" t="n">
        <x:f>AD16</x:f>
        <x:v>0.6</x:v>
      </x:c>
      <x:c r="AK32" s="75" t="n">
        <x:f>AE16</x:f>
        <x:v>0.6</x:v>
      </x:c>
      <x:c r="AL32" s="75" t="n">
        <x:f>AF16</x:f>
        <x:v>0.6</x:v>
      </x:c>
      <x:c r="AM32" s="75" t="n">
        <x:f>AG16</x:f>
        <x:v>0.6</x:v>
      </x:c>
      <x:c r="AN32" s="75" t="n">
        <x:f>AH16</x:f>
        <x:v>0.6</x:v>
      </x:c>
      <x:c r="AO32" s="75" t="n">
        <x:f>AI16</x:f>
        <x:v>0.6</x:v>
      </x:c>
      <x:c r="AP32" s="75" t="n">
        <x:f>AJ16</x:f>
        <x:v>1</x:v>
      </x:c>
      <x:c r="AQ32" s="75" t="n">
        <x:f>AK16</x:f>
        <x:v>1</x:v>
      </x:c>
      <x:c r="AR32" s="75" t="n">
        <x:f>AL16</x:f>
        <x:v>1</x:v>
      </x:c>
      <x:c r="AS32" s="75" t="n">
        <x:f>AM16</x:f>
        <x:v>1</x:v>
      </x:c>
      <x:c r="AT32" s="75" t="n">
        <x:f>AN16</x:f>
        <x:v>1</x:v>
      </x:c>
      <x:c r="AU32" s="75" t="n">
        <x:f>AO16</x:f>
        <x:v>1</x:v>
      </x:c>
    </x:row>
    <x:row r="33">
      <x:c r="A33" s="15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4"/>
      <x:c r="AA33" s="74"/>
      <x:c r="AB33" s="74"/>
      <x:c r="AC33" s="74"/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4"/>
      <x:c r="AO33" s="74"/>
      <x:c r="AP33" s="74"/>
      <x:c r="AQ33" s="74"/>
      <x:c r="AR33" s="74"/>
      <x:c r="AS33" s="74"/>
      <x:c r="AT33" s="74"/>
      <x:c r="AU33" s="74"/>
    </x:row>
    <x:row r="34">
      <x:c r="A34" s="15" t="str">
        <x:v>Net cash: 3-month wave delay</x:v>
      </x:c>
      <x:c r="B34" s="74" t="n">
        <x:v>0</x:v>
      </x:c>
      <x:c r="C34" s="74" t="n">
        <x:f>(C13+C14)*C31/12-C11-C23</x:f>
        <x:v>-0.11615385416666667</x:v>
      </x:c>
      <x:c r="D34" s="74" t="n">
        <x:f>(D13+D14)*D31/12-D11-D23</x:f>
        <x:v>-0.28046153935185186</x:v>
      </x:c>
      <x:c r="E34" s="74" t="n">
        <x:f>(E13+E14)*E31/12-E11-E23</x:f>
        <x:v>-0.18638461805555556</x:v>
      </x:c>
      <x:c r="F34" s="74" t="n">
        <x:f>(F13+F14)*F31/12-F11-F23</x:f>
        <x:v>-0.3784814814814815</x:v>
      </x:c>
      <x:c r="G34" s="74" t="n">
        <x:f>(G13+G14)*G31/12-G11-G23</x:f>
        <x:v>-0.33051851851851854</x:v>
      </x:c>
      <x:c r="H34" s="74" t="n">
        <x:f>(H13+H14)*H31/12-H11-H23</x:f>
        <x:v>-0.20430342592592593</x:v>
      </x:c>
      <x:c r="I34" s="74" t="n">
        <x:f>(I13+I14)*I31/12-I11-I23</x:f>
        <x:v>-0.1594871875</x:v>
      </x:c>
      <x:c r="J34" s="74" t="n">
        <x:f>(J13+J14)*J31/12-J11-J23</x:f>
        <x:v>-0.13380342592592592</x:v>
      </x:c>
      <x:c r="K34" s="74" t="n">
        <x:f>(K13+K14)*K31/12-K11-K23</x:f>
        <x:v>-0.1479059837962963</x:v>
      </x:c>
      <x:c r="L34" s="74" t="n">
        <x:f>(L13+L14)*L31/12-L11-L23</x:f>
        <x:v>-0.11666666666666667</x:v>
      </x:c>
      <x:c r="M34" s="74" t="n">
        <x:f>(M13+M14)*M31/12-M11-M23</x:f>
        <x:v>-0.05416666666666667</x:v>
      </x:c>
      <x:c r="N34" s="74" t="n">
        <x:f>(N13+N14)*N31/12-N11-N23</x:f>
        <x:v>-0.05416666666666667</x:v>
      </x:c>
      <x:c r="O34" s="74" t="n">
        <x:f>(O13+O14)*O31/12-O11-O23</x:f>
        <x:v>-0.039178363189322093</x:v>
      </x:c>
      <x:c r="P34" s="74" t="n">
        <x:f>(P13+P14)*P31/12-P11-P23</x:f>
        <x:v>-0.039178363189322093</x:v>
      </x:c>
      <x:c r="Q34" s="74" t="n">
        <x:f>(Q13+Q14)*Q31/12-Q11-Q23</x:f>
        <x:v>-0.039178363189322093</x:v>
      </x:c>
      <x:c r="R34" s="74" t="n">
        <x:f>(R13+R14)*R31/12-R11-R23</x:f>
        <x:v>-0.039178363189322093</x:v>
      </x:c>
      <x:c r="S34" s="74" t="n">
        <x:f>(S13+S14)*S31/12-S11-S23</x:f>
        <x:v>-0.039178363189322093</x:v>
      </x:c>
      <x:c r="T34" s="74" t="n">
        <x:f>(T13+T14)*T31/12-T11-T23</x:f>
        <x:v>-0.039178363189322093</x:v>
      </x:c>
      <x:c r="U34" s="74" t="n">
        <x:f>(U13+U14)*U31/12-U11-U23</x:f>
        <x:v>-0.039178363189322093</x:v>
      </x:c>
      <x:c r="V34" s="74" t="n">
        <x:f>(V13+V14)*V31/12-V11-V23</x:f>
        <x:v>-0.039178363189322093</x:v>
      </x:c>
      <x:c r="W34" s="74" t="n">
        <x:f>(W13+W14)*W31/12-W11-W23</x:f>
        <x:v>-0.039178363189322093</x:v>
      </x:c>
      <x:c r="X34" s="74" t="n">
        <x:f>(X13+X14)*X31/12-X11-X23</x:f>
        <x:v>-0.039178363189322093</x:v>
      </x:c>
      <x:c r="Y34" s="74" t="n">
        <x:f>(Y13+Y14)*Y31/12-Y11-Y23</x:f>
        <x:v>-0.01669590797330523</x:v>
      </x:c>
      <x:c r="Z34" s="74" t="n">
        <x:f>(Z13+Z14)*Z31/12-Z11-Z23</x:f>
        <x:v>-0.01669590797330523</x:v>
      </x:c>
      <x:c r="AA34" s="74" t="n">
        <x:f>(AA13+AA14)*AA31/12-AA11-AA23</x:f>
        <x:v>0.03576315419740077</x:v>
      </x:c>
      <x:c r="AB34" s="74" t="n">
        <x:f>(AB13+AB14)*AB31/12-AB11-AB23</x:f>
        <x:v>0.03576315419740077</x:v>
      </x:c>
      <x:c r="AC34" s="74" t="n">
        <x:f>(AC13+AC14)*AC31/12-AC11-AC23</x:f>
        <x:v>0.03576315419740077</x:v>
      </x:c>
      <x:c r="AD34" s="74" t="n">
        <x:f>(AD13+AD14)*AD31/12-AD11-AD23</x:f>
        <x:v>0.03576315419740077</x:v>
      </x:c>
      <x:c r="AE34" s="74" t="n">
        <x:f>(AE13+AE14)*AE31/12-AE11-AE23</x:f>
        <x:v>0.03576315419740077</x:v>
      </x:c>
      <x:c r="AF34" s="74" t="n">
        <x:f>(AF13+AF14)*AF31/12-AF11-AF23</x:f>
        <x:v>0.03576315419740077</x:v>
      </x:c>
      <x:c r="AG34" s="74" t="n">
        <x:f>(AG13+AG14)*AG31/12-AG11-AG23</x:f>
        <x:v>0.03576315419740077</x:v>
      </x:c>
      <x:c r="AH34" s="74" t="n">
        <x:f>(AH13+AH14)*AH31/12-AH11-AH23</x:f>
        <x:v>0.03576315419740077</x:v>
      </x:c>
      <x:c r="AI34" s="74" t="n">
        <x:f>(AI13+AI14)*AI31/12-AI11-AI23</x:f>
        <x:v>0.03576315419740077</x:v>
      </x:c>
      <x:c r="AJ34" s="74" t="n">
        <x:f>(AJ13+AJ14)*AJ31/12-AJ11-AJ23</x:f>
        <x:v>0.03576315419740077</x:v>
      </x:c>
      <x:c r="AK34" s="74" t="n">
        <x:f>(AK13+AK14)*AK31/12-AK11-AK23</x:f>
        <x:v>0.03576315419740077</x:v>
      </x:c>
      <x:c r="AL34" s="74" t="n">
        <x:f>(AL13+AL14)*AL31/12-AL11-AL23</x:f>
        <x:v>0.03576315419740077</x:v>
      </x:c>
      <x:c r="AM34" s="74" t="n">
        <x:f>(AM13+AM14)*AM31/12-AM11-AM23</x:f>
        <x:v>0.09571636810677908</x:v>
      </x:c>
      <x:c r="AN34" s="74" t="n">
        <x:f>(AN13+AN14)*AN31/12-AN11-AN23</x:f>
        <x:v>0.09571636810677908</x:v>
      </x:c>
      <x:c r="AO34" s="74" t="n">
        <x:f>(AO13+AO14)*AO31/12-AO11-AO23</x:f>
        <x:v>0.09571636810677908</x:v>
      </x:c>
      <x:c r="AP34" s="74" t="n">
        <x:f>(AP13+AP14)*AP31/12-AP11-AP23</x:f>
        <x:v>0.09571636810677908</x:v>
      </x:c>
      <x:c r="AQ34" s="74" t="n">
        <x:f>(AQ13+AQ14)*AQ31/12-AQ11-AQ23</x:f>
        <x:v>0.09571636810677908</x:v>
      </x:c>
      <x:c r="AR34" s="74" t="n">
        <x:f>(AR13+AR14)*AR31/12-AR11-AR23</x:f>
        <x:v>0.09571636810677908</x:v>
      </x:c>
      <x:c r="AS34" s="74" t="n">
        <x:f>(AS13+AS14)*AS31/12-AS11-AS23</x:f>
        <x:v>0.09571636810677908</x:v>
      </x:c>
      <x:c r="AT34" s="74" t="n">
        <x:f>(AT13+AT14)*AT31/12-AT11-AT23</x:f>
        <x:v>0.09571636810677908</x:v>
      </x:c>
      <x:c r="AU34" s="74" t="n">
        <x:f>(AU13+AU14)*AU31/12-AU11-AU23</x:f>
        <x:v>0.09571636810677908</x:v>
      </x:c>
    </x:row>
    <x:row r="35">
      <x:c r="A35" s="15" t="str">
        <x:v>Net cash: 6-month wave delay</x:v>
      </x:c>
      <x:c r="B35" s="74" t="n">
        <x:v>0</x:v>
      </x:c>
      <x:c r="C35" s="74" t="n">
        <x:f>(C13+C14)*C32/12-C11-C23</x:f>
        <x:v>-0.11615385416666667</x:v>
      </x:c>
      <x:c r="D35" s="74" t="n">
        <x:f>(D13+D14)*D32/12-D11-D23</x:f>
        <x:v>-0.28046153935185186</x:v>
      </x:c>
      <x:c r="E35" s="74" t="n">
        <x:f>(E13+E14)*E32/12-E11-E23</x:f>
        <x:v>-0.18638461805555556</x:v>
      </x:c>
      <x:c r="F35" s="74" t="n">
        <x:f>(F13+F14)*F32/12-F11-F23</x:f>
        <x:v>-0.3784814814814815</x:v>
      </x:c>
      <x:c r="G35" s="74" t="n">
        <x:f>(G13+G14)*G32/12-G11-G23</x:f>
        <x:v>-0.33051851851851854</x:v>
      </x:c>
      <x:c r="H35" s="74" t="n">
        <x:f>(H13+H14)*H32/12-H11-H23</x:f>
        <x:v>-0.20430342592592593</x:v>
      </x:c>
      <x:c r="I35" s="74" t="n">
        <x:f>(I13+I14)*I32/12-I11-I23</x:f>
        <x:v>-0.1594871875</x:v>
      </x:c>
      <x:c r="J35" s="74" t="n">
        <x:f>(J13+J14)*J32/12-J11-J23</x:f>
        <x:v>-0.13380342592592592</x:v>
      </x:c>
      <x:c r="K35" s="74" t="n">
        <x:f>(K13+K14)*K32/12-K11-K23</x:f>
        <x:v>-0.1479059837962963</x:v>
      </x:c>
      <x:c r="L35" s="74" t="n">
        <x:f>(L13+L14)*L32/12-L11-L23</x:f>
        <x:v>-0.11666666666666667</x:v>
      </x:c>
      <x:c r="M35" s="74" t="n">
        <x:f>(M13+M14)*M32/12-M11-M23</x:f>
        <x:v>-0.05416666666666667</x:v>
      </x:c>
      <x:c r="N35" s="74" t="n">
        <x:f>(N13+N14)*N32/12-N11-N23</x:f>
        <x:v>-0.05416666666666667</x:v>
      </x:c>
      <x:c r="O35" s="74" t="n">
        <x:f>(O13+O14)*O32/12-O11-O23</x:f>
        <x:v>-0.05416666666666667</x:v>
      </x:c>
      <x:c r="P35" s="74" t="n">
        <x:f>(P13+P14)*P32/12-P11-P23</x:f>
        <x:v>-0.05416666666666667</x:v>
      </x:c>
      <x:c r="Q35" s="74" t="n">
        <x:f>(Q13+Q14)*Q32/12-Q11-Q23</x:f>
        <x:v>-0.05416666666666667</x:v>
      </x:c>
      <x:c r="R35" s="74" t="n">
        <x:f>(R13+R14)*R32/12-R11-R23</x:f>
        <x:v>-0.039178363189322093</x:v>
      </x:c>
      <x:c r="S35" s="74" t="n">
        <x:f>(S13+S14)*S32/12-S11-S23</x:f>
        <x:v>-0.039178363189322093</x:v>
      </x:c>
      <x:c r="T35" s="74" t="n">
        <x:f>(T13+T14)*T32/12-T11-T23</x:f>
        <x:v>-0.039178363189322093</x:v>
      </x:c>
      <x:c r="U35" s="74" t="n">
        <x:f>(U13+U14)*U32/12-U11-U23</x:f>
        <x:v>-0.039178363189322093</x:v>
      </x:c>
      <x:c r="V35" s="74" t="n">
        <x:f>(V13+V14)*V32/12-V11-V23</x:f>
        <x:v>-0.039178363189322093</x:v>
      </x:c>
      <x:c r="W35" s="74" t="n">
        <x:f>(W13+W14)*W32/12-W11-W23</x:f>
        <x:v>-0.039178363189322093</x:v>
      </x:c>
      <x:c r="X35" s="74" t="n">
        <x:f>(X13+X14)*X32/12-X11-X23</x:f>
        <x:v>-0.039178363189322093</x:v>
      </x:c>
      <x:c r="Y35" s="74" t="n">
        <x:f>(Y13+Y14)*Y32/12-Y11-Y23</x:f>
        <x:v>-0.039178363189322093</x:v>
      </x:c>
      <x:c r="Z35" s="74" t="n">
        <x:f>(Z13+Z14)*Z32/12-Z11-Z23</x:f>
        <x:v>-0.039178363189322093</x:v>
      </x:c>
      <x:c r="AA35" s="74" t="n">
        <x:f>(AA13+AA14)*AA32/12-AA11-AA23</x:f>
        <x:v>-0.039178363189322093</x:v>
      </x:c>
      <x:c r="AB35" s="74" t="n">
        <x:f>(AB13+AB14)*AB32/12-AB11-AB23</x:f>
        <x:v>-0.01669590797330523</x:v>
      </x:c>
      <x:c r="AC35" s="74" t="n">
        <x:f>(AC13+AC14)*AC32/12-AC11-AC23</x:f>
        <x:v>-0.01669590797330523</x:v>
      </x:c>
      <x:c r="AD35" s="74" t="n">
        <x:f>(AD13+AD14)*AD32/12-AD11-AD23</x:f>
        <x:v>0.03576315419740077</x:v>
      </x:c>
      <x:c r="AE35" s="74" t="n">
        <x:f>(AE13+AE14)*AE32/12-AE11-AE23</x:f>
        <x:v>0.03576315419740077</x:v>
      </x:c>
      <x:c r="AF35" s="74" t="n">
        <x:f>(AF13+AF14)*AF32/12-AF11-AF23</x:f>
        <x:v>0.03576315419740077</x:v>
      </x:c>
      <x:c r="AG35" s="74" t="n">
        <x:f>(AG13+AG14)*AG32/12-AG11-AG23</x:f>
        <x:v>0.03576315419740077</x:v>
      </x:c>
      <x:c r="AH35" s="74" t="n">
        <x:f>(AH13+AH14)*AH32/12-AH11-AH23</x:f>
        <x:v>0.03576315419740077</x:v>
      </x:c>
      <x:c r="AI35" s="74" t="n">
        <x:f>(AI13+AI14)*AI32/12-AI11-AI23</x:f>
        <x:v>0.03576315419740077</x:v>
      </x:c>
      <x:c r="AJ35" s="74" t="n">
        <x:f>(AJ13+AJ14)*AJ32/12-AJ11-AJ23</x:f>
        <x:v>0.03576315419740077</x:v>
      </x:c>
      <x:c r="AK35" s="74" t="n">
        <x:f>(AK13+AK14)*AK32/12-AK11-AK23</x:f>
        <x:v>0.03576315419740077</x:v>
      </x:c>
      <x:c r="AL35" s="74" t="n">
        <x:f>(AL13+AL14)*AL32/12-AL11-AL23</x:f>
        <x:v>0.03576315419740077</x:v>
      </x:c>
      <x:c r="AM35" s="74" t="n">
        <x:f>(AM13+AM14)*AM32/12-AM11-AM23</x:f>
        <x:v>0.03576315419740077</x:v>
      </x:c>
      <x:c r="AN35" s="74" t="n">
        <x:f>(AN13+AN14)*AN32/12-AN11-AN23</x:f>
        <x:v>0.03576315419740077</x:v>
      </x:c>
      <x:c r="AO35" s="74" t="n">
        <x:f>(AO13+AO14)*AO32/12-AO11-AO23</x:f>
        <x:v>0.03576315419740077</x:v>
      </x:c>
      <x:c r="AP35" s="74" t="n">
        <x:f>(AP13+AP14)*AP32/12-AP11-AP23</x:f>
        <x:v>0.09571636810677908</x:v>
      </x:c>
      <x:c r="AQ35" s="74" t="n">
        <x:f>(AQ13+AQ14)*AQ32/12-AQ11-AQ23</x:f>
        <x:v>0.09571636810677908</x:v>
      </x:c>
      <x:c r="AR35" s="74" t="n">
        <x:f>(AR13+AR14)*AR32/12-AR11-AR23</x:f>
        <x:v>0.09571636810677908</x:v>
      </x:c>
      <x:c r="AS35" s="74" t="n">
        <x:f>(AS13+AS14)*AS32/12-AS11-AS23</x:f>
        <x:v>0.09571636810677908</x:v>
      </x:c>
      <x:c r="AT35" s="74" t="n">
        <x:f>(AT13+AT14)*AT32/12-AT11-AT23</x:f>
        <x:v>0.09571636810677908</x:v>
      </x:c>
      <x:c r="AU35" s="74" t="n">
        <x:f>(AU13+AU14)*AU32/12-AU11-AU23</x:f>
        <x:v>0.09571636810677908</x:v>
      </x:c>
    </x:row>
    <x:row r="36">
      <x:c r="A36" s="15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4"/>
      <x:c r="AA36" s="74"/>
      <x:c r="AB36" s="74"/>
      <x:c r="AC36" s="74"/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4"/>
      <x:c r="AO36" s="74"/>
      <x:c r="AP36" s="74"/>
      <x:c r="AQ36" s="74"/>
      <x:c r="AR36" s="74"/>
      <x:c r="AS36" s="74"/>
      <x:c r="AT36" s="74"/>
      <x:c r="AU36" s="74"/>
    </x:row>
    <x:row r="37">
      <x:c r="A37" s="15" t="str">
        <x:v>PV: 3-month wave delay</x:v>
      </x:c>
      <x:c r="B37" s="74" t="n">
        <x:v>0</x:v>
      </x:c>
      <x:c r="C37" s="74" t="n">
        <x:f>C34*C26</x:f>
        <x:v>-0.1155188228378551</x:v>
      </x:c>
      <x:c r="D37" s="74" t="n">
        <x:f>D34*D26</x:f>
        <x:v>-0.2771694022062028</x:v>
      </x:c>
      <x:c r="E37" s="74" t="n">
        <x:f>E34*E26</x:f>
        <x:v>-0.18299672181707535</x:v>
      </x:c>
      <x:c r="F37" s="74" t="n">
        <x:f>F34*F26</x:f>
        <x:v>-0.36918083429711684</x:v>
      </x:c>
      <x:c r="G37" s="74" t="n">
        <x:f>G34*G26</x:f>
        <x:v>-0.32049871695546844</x:v>
      </x:c>
      <x:c r="H37" s="74" t="n">
        <x:f>H34*H26</x:f>
        <x:v>-0.1968191795889147</x:v>
      </x:c>
      <x:c r="I37" s="74" t="n">
        <x:f>I34*I26</x:f>
        <x:v>-0.15267587209183356</x:v>
      </x:c>
      <x:c r="J37" s="74" t="n">
        <x:f>J34*J26</x:f>
        <x:v>-0.12725448957361324</x:v>
      </x:c>
      <x:c r="K37" s="74" t="n">
        <x:f>K34*K26</x:f>
        <x:v>-0.139779816658126</x:v>
      </x:c>
      <x:c r="L37" s="74" t="n">
        <x:f>L34*L26</x:f>
        <x:v>-0.1095384980392669</x:v>
      </x:c>
      <x:c r="M37" s="74" t="n">
        <x:f>M34*M26</x:f>
        <x:v>-0.05052582025670269</x:v>
      </x:c>
      <x:c r="N37" s="74" t="n">
        <x:f>N34*N26</x:f>
        <x:v>-0.05020722460630867</x:v>
      </x:c>
      <x:c r="O37" s="74" t="n">
        <x:f>O34*O26</x:f>
        <x:v>-0.036077934200214705</x:v>
      </x:c>
      <x:c r="P37" s="74" t="n">
        <x:f>P34*P26</x:f>
        <x:v>-0.03585044115105702</x:v>
      </x:c>
      <x:c r="Q37" s="74" t="n">
        <x:f>Q34*Q26</x:f>
        <x:v>-0.035616871895808935</x:v>
      </x:c>
      <x:c r="R37" s="74" t="n">
        <x:f>R34*R26</x:f>
        <x:v>-0.03538482436791609</x:v>
      </x:c>
      <x:c r="S37" s="74" t="n">
        <x:f>S34*S26</x:f>
        <x:v>-0.03516911649535218</x:v>
      </x:c>
      <x:c r="T37" s="74" t="n">
        <x:f>T34*T26</x:f>
        <x:v>-0.034939986139244684</x:v>
      </x:c>
      <x:c r="U37" s="74" t="n">
        <x:f>U34*U26</x:f>
        <x:v>-0.03471966853624022</x:v>
      </x:c>
      <x:c r="V37" s="74" t="n">
        <x:f>V34*V26</x:f>
        <x:v>-0.03449346637910914</x:v>
      </x:c>
      <x:c r="W37" s="74" t="n">
        <x:f>W34*W26</x:f>
        <x:v>-0.03427596435144163</x:v>
      </x:c>
      <x:c r="X37" s="74" t="n">
        <x:f>X34*X26</x:f>
        <x:v>-0.03405265297201555</x:v>
      </x:c>
      <x:c r="Y37" s="74" t="n">
        <x:f>Y34*Y26</x:f>
        <x:v>-0.014417035803969304</x:v>
      </x:c>
      <x:c r="Z37" s="74" t="n">
        <x:f>Z34*Z26</x:f>
        <x:v>-0.014326127732108555</x:v>
      </x:c>
      <x:c r="AA37" s="74" t="n">
        <x:f>AA34*AA26</x:f>
        <x:v>0.030487082223629364</x:v>
      </x:c>
      <x:c r="AB37" s="74" t="n">
        <x:f>AB34*AB26</x:f>
        <x:v>0.030294842854920356</x:v>
      </x:c>
      <x:c r="AC37" s="74" t="n">
        <x:f>AC34*AC26</x:f>
        <x:v>0.030097468885276108</x:v>
      </x:c>
      <x:c r="AD37" s="74" t="n">
        <x:f>AD34*AD26</x:f>
        <x:v>0.029901380827035317</x:v>
      </x:c>
      <x:c r="AE37" s="74" t="n">
        <x:f>AE34*AE26</x:f>
        <x:v>0.02972536733103093</x:v>
      </x:c>
      <x:c r="AF37" s="74" t="n">
        <x:f>AF34*AF26</x:f>
        <x:v>0.02953170355210474</x:v>
      </x:c>
      <x:c r="AG37" s="74" t="n">
        <x:f>AG34*AG26</x:f>
        <x:v>0.029345488419868896</x:v>
      </x:c>
      <x:c r="AH37" s="74" t="n">
        <x:f>AH34*AH26</x:f>
        <x:v>0.029154299590525352</x:v>
      </x:c>
      <x:c r="AI37" s="74" t="n">
        <x:f>AI34*AI26</x:f>
        <x:v>0.028970464216994854</x:v>
      </x:c>
      <x:c r="AJ37" s="74" t="n">
        <x:f>AJ34*AJ26</x:f>
        <x:v>0.02878171870831775</x:v>
      </x:c>
      <x:c r="AK37" s="74" t="n">
        <x:f>AK34*AK26</x:f>
        <x:v>0.02859420289574696</x:v>
      </x:c>
      <x:c r="AL37" s="74" t="n">
        <x:f>AL34*AL26</x:f>
        <x:v>0.02841389926835833</x:v>
      </x:c>
      <x:c r="AM37" s="74" t="n">
        <x:f>AM34*AM26</x:f>
        <x:v>0.07555139759598127</x:v>
      </x:c>
      <x:c r="AN37" s="74" t="n">
        <x:f>AN34*AN26</x:f>
        <x:v>0.07507500064620436</x:v>
      </x:c>
      <x:c r="AO37" s="74" t="n">
        <x:f>AO34*AO26</x:f>
        <x:v>0.07458587941294538</x:v>
      </x:c>
      <x:c r="AP37" s="74" t="n">
        <x:f>AP34*AP26</x:f>
        <x:v>0.07409994485406224</x:v>
      </x:c>
      <x:c r="AQ37" s="74" t="n">
        <x:f>AQ34*AQ26</x:f>
        <x:v>0.07366375796279655</x:v>
      </x:c>
      <x:c r="AR37" s="74" t="n">
        <x:f>AR34*AR26</x:f>
        <x:v>0.07318383111855913</x:v>
      </x:c>
      <x:c r="AS37" s="74" t="n">
        <x:f>AS34*AS26</x:f>
        <x:v>0.07272236309775149</x:v>
      </x:c>
      <x:c r="AT37" s="74" t="n">
        <x:f>AT34*AT26</x:f>
        <x:v>0.07224856953640998</x:v>
      </x:c>
      <x:c r="AU37" s="74" t="n">
        <x:f>AU34*AU26</x:f>
        <x:v>0.07179299890174153</x:v>
      </x:c>
    </x:row>
    <x:row r="38">
      <x:c r="A38" s="15" t="str">
        <x:v>PV: 6-month wave delay</x:v>
      </x:c>
      <x:c r="B38" s="74" t="n">
        <x:v>0</x:v>
      </x:c>
      <x:c r="C38" s="74" t="n">
        <x:f>C35*C26</x:f>
        <x:v>-0.1155188228378551</x:v>
      </x:c>
      <x:c r="D38" s="74" t="n">
        <x:f>D35*D26</x:f>
        <x:v>-0.2771694022062028</x:v>
      </x:c>
      <x:c r="E38" s="74" t="n">
        <x:f>E35*E26</x:f>
        <x:v>-0.18299672181707535</x:v>
      </x:c>
      <x:c r="F38" s="74" t="n">
        <x:f>F35*F26</x:f>
        <x:v>-0.36918083429711684</x:v>
      </x:c>
      <x:c r="G38" s="74" t="n">
        <x:f>G35*G26</x:f>
        <x:v>-0.32049871695546844</x:v>
      </x:c>
      <x:c r="H38" s="74" t="n">
        <x:f>H35*H26</x:f>
        <x:v>-0.1968191795889147</x:v>
      </x:c>
      <x:c r="I38" s="74" t="n">
        <x:f>I35*I26</x:f>
        <x:v>-0.15267587209183356</x:v>
      </x:c>
      <x:c r="J38" s="74" t="n">
        <x:f>J35*J26</x:f>
        <x:v>-0.12725448957361324</x:v>
      </x:c>
      <x:c r="K38" s="74" t="n">
        <x:f>K35*K26</x:f>
        <x:v>-0.139779816658126</x:v>
      </x:c>
      <x:c r="L38" s="74" t="n">
        <x:f>L35*L26</x:f>
        <x:v>-0.1095384980392669</x:v>
      </x:c>
      <x:c r="M38" s="74" t="n">
        <x:f>M35*M26</x:f>
        <x:v>-0.05052582025670269</x:v>
      </x:c>
      <x:c r="N38" s="74" t="n">
        <x:f>N35*N26</x:f>
        <x:v>-0.05020722460630867</x:v>
      </x:c>
      <x:c r="O38" s="74" t="n">
        <x:f>O35*O26</x:f>
        <x:v>-0.04988011945270798</x:v>
      </x:c>
      <x:c r="P38" s="74" t="n">
        <x:f>P35*P26</x:f>
        <x:v>-0.04956559533379159</x:v>
      </x:c>
      <x:c r="Q38" s="74" t="n">
        <x:f>Q35*Q26</x:f>
        <x:v>-0.049242670459889434</x:v>
      </x:c>
      <x:c r="R38" s="74" t="n">
        <x:f>R35*R26</x:f>
        <x:v>-0.03538482436791609</x:v>
      </x:c>
      <x:c r="S38" s="74" t="n">
        <x:f>S35*S26</x:f>
        <x:v>-0.03516911649535218</x:v>
      </x:c>
      <x:c r="T38" s="74" t="n">
        <x:f>T35*T26</x:f>
        <x:v>-0.034939986139244684</x:v>
      </x:c>
      <x:c r="U38" s="74" t="n">
        <x:f>U35*U26</x:f>
        <x:v>-0.03471966853624022</x:v>
      </x:c>
      <x:c r="V38" s="74" t="n">
        <x:f>V35*V26</x:f>
        <x:v>-0.03449346637910914</x:v>
      </x:c>
      <x:c r="W38" s="74" t="n">
        <x:f>W35*W26</x:f>
        <x:v>-0.03427596435144163</x:v>
      </x:c>
      <x:c r="X38" s="74" t="n">
        <x:f>X35*X26</x:f>
        <x:v>-0.03405265297201555</x:v>
      </x:c>
      <x:c r="Y38" s="74" t="n">
        <x:f>Y35*Y26</x:f>
        <x:v>-0.033830796488844746</x:v>
      </x:c>
      <x:c r="Z38" s="74" t="n">
        <x:f>Z35*Z26</x:f>
        <x:v>-0.03361747299293809</x:v>
      </x:c>
      <x:c r="AA38" s="74" t="n">
        <x:f>AA35*AA26</x:f>
        <x:v>-0.03339845175140863</x:v>
      </x:c>
      <x:c r="AB38" s="74" t="n">
        <x:f>AB35*AB26</x:f>
        <x:v>-0.014143045257687444</x:v>
      </x:c>
      <x:c r="AC38" s="74" t="n">
        <x:f>AC35*AC26</x:f>
        <x:v>-0.014050901885340668</x:v>
      </x:c>
      <x:c r="AD38" s="74" t="n">
        <x:f>AD35*AD26</x:f>
        <x:v>0.029901380827035317</x:v>
      </x:c>
      <x:c r="AE38" s="74" t="n">
        <x:f>AE35*AE26</x:f>
        <x:v>0.02972536733103093</x:v>
      </x:c>
      <x:c r="AF38" s="74" t="n">
        <x:f>AF35*AF26</x:f>
        <x:v>0.02953170355210474</x:v>
      </x:c>
      <x:c r="AG38" s="74" t="n">
        <x:f>AG35*AG26</x:f>
        <x:v>0.029345488419868896</x:v>
      </x:c>
      <x:c r="AH38" s="74" t="n">
        <x:f>AH35*AH26</x:f>
        <x:v>0.029154299590525352</x:v>
      </x:c>
      <x:c r="AI38" s="74" t="n">
        <x:f>AI35*AI26</x:f>
        <x:v>0.028970464216994854</x:v>
      </x:c>
      <x:c r="AJ38" s="74" t="n">
        <x:f>AJ35*AJ26</x:f>
        <x:v>0.02878171870831775</x:v>
      </x:c>
      <x:c r="AK38" s="74" t="n">
        <x:f>AK35*AK26</x:f>
        <x:v>0.02859420289574696</x:v>
      </x:c>
      <x:c r="AL38" s="74" t="n">
        <x:f>AL35*AL26</x:f>
        <x:v>0.02841389926835833</x:v>
      </x:c>
      <x:c r="AM38" s="74" t="n">
        <x:f>AM35*AM26</x:f>
        <x:v>0.028228779836693852</x:v>
      </x:c>
      <x:c r="AN38" s="74" t="n">
        <x:f>AN35*AN26</x:f>
        <x:v>0.028050780421222544</x:v>
      </x:c>
      <x:c r="AO38" s="74" t="n">
        <x:f>AO35*AO26</x:f>
        <x:v>0.027868026745626023</x:v>
      </x:c>
      <x:c r="AP38" s="74" t="n">
        <x:f>AP35*AP26</x:f>
        <x:v>0.07409994485406224</x:v>
      </x:c>
      <x:c r="AQ38" s="74" t="n">
        <x:f>AQ35*AQ26</x:f>
        <x:v>0.07366375796279655</x:v>
      </x:c>
      <x:c r="AR38" s="74" t="n">
        <x:f>AR35*AR26</x:f>
        <x:v>0.07318383111855913</x:v>
      </x:c>
      <x:c r="AS38" s="74" t="n">
        <x:f>AS35*AS26</x:f>
        <x:v>0.07272236309775149</x:v>
      </x:c>
      <x:c r="AT38" s="74" t="n">
        <x:f>AT35*AT26</x:f>
        <x:v>0.07224856953640998</x:v>
      </x:c>
      <x:c r="AU38" s="74" t="n">
        <x:f>AU35*AU26</x:f>
        <x:v>0.07179299890174153</x:v>
      </x:c>
    </x:row>
    <x:row r="40" ht="36" customHeight="1">
      <x:c r="A40" t="str">
        <x:v>Monthly driver overrides</x:v>
      </x:c>
      <x:c r="B40" s="67" t="str">
        <x:v>Rows 13-16 may be overridden by month after Finance approval. Linked defaults preserve the annual totals: Year 1 = 10 months at 10%, then 2 at 25%; Year 2 = 60%; Year 3 = 100%.</x:v>
      </x:c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</x:row>
    <x:row r="42">
      <x:c r="A42" s="11" t="str">
        <x:v>Timing case</x:v>
      </x:c>
      <x:c r="B42" s="11" t="str">
        <x:v>XNPV (NZ$m)</x:v>
      </x:c>
      <x:c r="C42" s="11" t="str">
        <x:v>PV-sum reconciliation</x:v>
      </x:c>
      <x:c r="D42" s="11" t="str">
        <x:v>BCR</x:v>
      </x:c>
    </x:row>
    <x:row r="43" ht="48" customHeight="1">
      <x:c r="A43" s="15" t="str">
        <x:v>Dated base</x:v>
      </x:c>
      <x:c r="B43" s="79" t="n">
        <x:f>XNPV('Assumptions'!$B$15,B24:AU24,$B$6:$AU$6)</x:f>
        <x:v>-1.0745919339721355</x:v>
      </x:c>
      <x:c r="C43" s="79" t="n">
        <x:f>B43-SUM(B27:AU27)</x:f>
        <x:v>0</x:v>
      </x:c>
      <x:c r="D43" s="56" t="n">
        <x:f>1+B43/SUM(B29:AU29)</x:f>
        <x:v>0.6998661088918205</x:v>
      </x:c>
      <x:c r="F43" s="67" t="str">
        <x:v>Delay sensitivity boundary</x:v>
      </x:c>
      <x:c r="G43" s="67" t="str">
        <x:v>Exposure is shifted by 3 or 6 months; implementation and operating costs stay on schedule. Benefits falling after June 2030 are excluded. This tests wave slippage only, not a whole-programme replan.</x:v>
      </x:c>
      <x:c r="H43" s="67"/>
      <x:c r="I43" s="67"/>
      <x:c r="J43" s="67"/>
      <x:c r="K43" s="67"/>
      <x:c r="L43" s="67"/>
      <x:c r="M43" s="67"/>
    </x:row>
    <x:row r="44" ht="48" customHeight="1">
      <x:c r="A44" s="15" t="str">
        <x:v>3-month wave delay</x:v>
      </x:c>
      <x:c r="B44" s="79" t="n">
        <x:f>XNPV('Assumptions'!$B$15,B34:AU34,$B$6:$AU$6)</x:f>
        <x:v>-1.4552678270527009</x:v>
      </x:c>
      <x:c r="C44" s="79" t="n">
        <x:f>B44-SUM(B37:AU37)</x:f>
        <x:v>0</x:v>
      </x:c>
      <x:c r="D44" s="56" t="n">
        <x:f>1+B44/SUM(B29:AU29)</x:f>
        <x:v>0.5935432030246395</x:v>
      </x:c>
      <x:c r="F44" s="67" t="str">
        <x:v>Annual comparison</x:v>
      </x:c>
      <x:c r="G44" s="67" t="str">
        <x:v>The original annual benchmark remains on CBA Scenarios, valued at 30 June 2027. Dated XNPV here uses 5 October 2026. Different dates and within-year timing mean the two NPVs are not interchangeable.</x:v>
      </x:c>
      <x:c r="H44" s="67"/>
      <x:c r="I44" s="67"/>
      <x:c r="J44" s="67"/>
      <x:c r="K44" s="67"/>
      <x:c r="L44" s="67"/>
      <x:c r="M44" s="67"/>
    </x:row>
    <x:row r="45" ht="48" customHeight="1">
      <x:c r="A45" s="15" t="str">
        <x:v>6-month wave delay</x:v>
      </x:c>
      <x:c r="B45" s="79" t="n">
        <x:f>XNPV('Assumptions'!$B$15,B35:AU35,$B$6:$AU$6)</x:f>
        <x:v>-1.8286525545075663</x:v>
      </x:c>
      <x:c r="C45" s="79" t="n">
        <x:f>B45-SUM(B38:AU38)</x:f>
        <x:v>-4.440892098500626e-16</x:v>
      </x:c>
      <x:c r="D45" s="56" t="n">
        <x:f>1+B45/SUM(B29:AU29)</x:f>
        <x:v>0.4892567221861357</x:v>
      </x:c>
      <x:c r="F45" s="67" t="str">
        <x:v>Cash assumption</x:v>
      </x:c>
      <x:c r="G45" s="67" t="str">
        <x:v>Client/third-party delivery is treated as incremental cash. Finance must distinguish cash expenditure from allocated existing staff capacity; no released-spend claim is established.</x:v>
      </x:c>
      <x:c r="H45" s="67"/>
      <x:c r="I45" s="67"/>
      <x:c r="J45" s="67"/>
      <x:c r="K45" s="67"/>
      <x:c r="L45" s="67"/>
      <x:c r="M45" s="67"/>
    </x:row>
    <x:row r="46" ht="48" customHeight="1">
      <x:c r="B46" s="80"/>
      <x:c r="C46" s="80"/>
      <x:c r="F46" s="67" t="str">
        <x:v>Source</x:v>
      </x:c>
      <x:c r="G46" s="67" t="str">
        <x:v>A2-D1 proposal sections 6, 10 and 12. Phase 0 only is initially authorised; Phase 1 invoice at M1 assumes a separate successful release. Timing requires client/Finance approval.</x:v>
      </x:c>
      <x:c r="H46" s="67"/>
      <x:c r="I46" s="67"/>
      <x:c r="J46" s="67"/>
      <x:c r="K46" s="67"/>
      <x:c r="L46" s="67"/>
      <x:c r="M46" s="67"/>
    </x:row>
    <x:row r="47">
      <x:c r="A47" s="11" t="str">
        <x:v>Control</x:v>
      </x:c>
      <x:c r="B47" s="81" t="str">
        <x:v>Result</x:v>
      </x:c>
      <x:c r="C47" s="81" t="str">
        <x:v>Expected</x:v>
      </x:c>
    </x:row>
    <x:row r="48">
      <x:c r="A48" s="15" t="str">
        <x:v>Implementation cash total</x:v>
      </x:c>
      <x:c r="B48" s="79" t="n">
        <x:f>ROUND(SUM(B11:AU11),6)</x:f>
        <x:v>2</x:v>
      </x:c>
      <x:c r="C48" s="79" t="n">
        <x:f>'Phase Costs'!H12</x:f>
        <x:v>2</x:v>
      </x:c>
    </x:row>
    <x:row r="49">
      <x:c r="A49" s="15" t="str">
        <x:v>Run cost total</x:v>
      </x:c>
      <x:c r="B49" s="79" t="n">
        <x:f>SUM(B23:AU23)</x:f>
        <x:v>1.9500000000000008</x:v>
      </x:c>
      <x:c r="C49" s="79" t="n">
        <x:f>'Assumptions'!B14*3</x:f>
        <x:v>1.9500000000000002</x:v>
      </x:c>
    </x:row>
    <x:row r="50">
      <x:c r="A50" s="15" t="str">
        <x:v>Benefit total</x:v>
      </x:c>
      <x:c r="B50" s="79" t="n">
        <x:f>SUM(B22:AU22)</x:f>
        <x:v>3.102578819810328</x:v>
      </x:c>
      <x:c r="C50" s="79" t="n">
        <x:f>SUM('CBA Scenarios'!J14:L14)</x:f>
        <x:v>3.1025788198103266</x:v>
      </x:c>
    </x:row>
  </x:sheetData>
  <x:mergeCells>
    <x:mergeCell ref="A1:M1"/>
    <x:mergeCell ref="A2:M2"/>
    <x:mergeCell ref="B4:M4"/>
    <x:mergeCell ref="B40:M40"/>
    <x:mergeCell ref="G43:M43"/>
    <x:mergeCell ref="G44:M44"/>
    <x:mergeCell ref="G45:M45"/>
    <x:mergeCell ref="G46:M46"/>
  </x:mergeCells>
  <x:dataValidations count="45">
    <x:dataValidation type="decimal" operator="between" sqref="C16">
      <x:formula1>0</x:formula1>
      <x:formula2>1</x:formula2>
    </x:dataValidation>
    <x:dataValidation type="decimal" operator="between" sqref="D16">
      <x:formula1>0</x:formula1>
      <x:formula2>1</x:formula2>
    </x:dataValidation>
    <x:dataValidation type="decimal" operator="between" sqref="E16">
      <x:formula1>0</x:formula1>
      <x:formula2>1</x:formula2>
    </x:dataValidation>
    <x:dataValidation type="decimal" operator="between" sqref="F16">
      <x:formula1>0</x:formula1>
      <x:formula2>1</x:formula2>
    </x:dataValidation>
    <x:dataValidation type="decimal" operator="between" sqref="G16">
      <x:formula1>0</x:formula1>
      <x:formula2>1</x:formula2>
    </x:dataValidation>
    <x:dataValidation type="decimal" operator="between" sqref="H16">
      <x:formula1>0</x:formula1>
      <x:formula2>1</x:formula2>
    </x:dataValidation>
    <x:dataValidation type="decimal" operator="between" sqref="I16">
      <x:formula1>0</x:formula1>
      <x:formula2>1</x:formula2>
    </x:dataValidation>
    <x:dataValidation type="decimal" operator="between" sqref="J16">
      <x:formula1>0</x:formula1>
      <x:formula2>1</x:formula2>
    </x:dataValidation>
    <x:dataValidation type="decimal" operator="between" sqref="K16">
      <x:formula1>0</x:formula1>
      <x:formula2>1</x:formula2>
    </x:dataValidation>
    <x:dataValidation type="decimal" operator="between" sqref="L16">
      <x:formula1>0</x:formula1>
      <x:formula2>1</x:formula2>
    </x:dataValidation>
    <x:dataValidation type="decimal" operator="between" sqref="M16">
      <x:formula1>0</x:formula1>
      <x:formula2>1</x:formula2>
    </x:dataValidation>
    <x:dataValidation type="decimal" operator="between" sqref="N16">
      <x:formula1>0</x:formula1>
      <x:formula2>1</x:formula2>
    </x:dataValidation>
    <x:dataValidation type="decimal" operator="between" sqref="O16">
      <x:formula1>0</x:formula1>
      <x:formula2>1</x:formula2>
    </x:dataValidation>
    <x:dataValidation type="decimal" operator="between" sqref="P16">
      <x:formula1>0</x:formula1>
      <x:formula2>1</x:formula2>
    </x:dataValidation>
    <x:dataValidation type="decimal" operator="between" sqref="Q16">
      <x:formula1>0</x:formula1>
      <x:formula2>1</x:formula2>
    </x:dataValidation>
    <x:dataValidation type="decimal" operator="between" sqref="R16">
      <x:formula1>0</x:formula1>
      <x:formula2>1</x:formula2>
    </x:dataValidation>
    <x:dataValidation type="decimal" operator="between" sqref="S16">
      <x:formula1>0</x:formula1>
      <x:formula2>1</x:formula2>
    </x:dataValidation>
    <x:dataValidation type="decimal" operator="between" sqref="T16">
      <x:formula1>0</x:formula1>
      <x:formula2>1</x:formula2>
    </x:dataValidation>
    <x:dataValidation type="decimal" operator="between" sqref="U16">
      <x:formula1>0</x:formula1>
      <x:formula2>1</x:formula2>
    </x:dataValidation>
    <x:dataValidation type="decimal" operator="between" sqref="V16">
      <x:formula1>0</x:formula1>
      <x:formula2>1</x:formula2>
    </x:dataValidation>
    <x:dataValidation type="decimal" operator="between" sqref="W16">
      <x:formula1>0</x:formula1>
      <x:formula2>1</x:formula2>
    </x:dataValidation>
    <x:dataValidation type="decimal" operator="between" sqref="X16">
      <x:formula1>0</x:formula1>
      <x:formula2>1</x:formula2>
    </x:dataValidation>
    <x:dataValidation type="decimal" operator="between" sqref="Y16">
      <x:formula1>0</x:formula1>
      <x:formula2>1</x:formula2>
    </x:dataValidation>
    <x:dataValidation type="decimal" operator="between" sqref="Z16">
      <x:formula1>0</x:formula1>
      <x:formula2>1</x:formula2>
    </x:dataValidation>
    <x:dataValidation type="decimal" operator="between" sqref="AA16">
      <x:formula1>0</x:formula1>
      <x:formula2>1</x:formula2>
    </x:dataValidation>
    <x:dataValidation type="decimal" operator="between" sqref="AB16">
      <x:formula1>0</x:formula1>
      <x:formula2>1</x:formula2>
    </x:dataValidation>
    <x:dataValidation type="decimal" operator="between" sqref="AC16">
      <x:formula1>0</x:formula1>
      <x:formula2>1</x:formula2>
    </x:dataValidation>
    <x:dataValidation type="decimal" operator="between" sqref="AD16">
      <x:formula1>0</x:formula1>
      <x:formula2>1</x:formula2>
    </x:dataValidation>
    <x:dataValidation type="decimal" operator="between" sqref="AE16">
      <x:formula1>0</x:formula1>
      <x:formula2>1</x:formula2>
    </x:dataValidation>
    <x:dataValidation type="decimal" operator="between" sqref="AF16">
      <x:formula1>0</x:formula1>
      <x:formula2>1</x:formula2>
    </x:dataValidation>
    <x:dataValidation type="decimal" operator="between" sqref="AG16">
      <x:formula1>0</x:formula1>
      <x:formula2>1</x:formula2>
    </x:dataValidation>
    <x:dataValidation type="decimal" operator="between" sqref="AH16">
      <x:formula1>0</x:formula1>
      <x:formula2>1</x:formula2>
    </x:dataValidation>
    <x:dataValidation type="decimal" operator="between" sqref="AI16">
      <x:formula1>0</x:formula1>
      <x:formula2>1</x:formula2>
    </x:dataValidation>
    <x:dataValidation type="decimal" operator="between" sqref="AJ16">
      <x:formula1>0</x:formula1>
      <x:formula2>1</x:formula2>
    </x:dataValidation>
    <x:dataValidation type="decimal" operator="between" sqref="AK16">
      <x:formula1>0</x:formula1>
      <x:formula2>1</x:formula2>
    </x:dataValidation>
    <x:dataValidation type="decimal" operator="between" sqref="AL16">
      <x:formula1>0</x:formula1>
      <x:formula2>1</x:formula2>
    </x:dataValidation>
    <x:dataValidation type="decimal" operator="between" sqref="AM16">
      <x:formula1>0</x:formula1>
      <x:formula2>1</x:formula2>
    </x:dataValidation>
    <x:dataValidation type="decimal" operator="between" sqref="AN16">
      <x:formula1>0</x:formula1>
      <x:formula2>1</x:formula2>
    </x:dataValidation>
    <x:dataValidation type="decimal" operator="between" sqref="AO16">
      <x:formula1>0</x:formula1>
      <x:formula2>1</x:formula2>
    </x:dataValidation>
    <x:dataValidation type="decimal" operator="between" sqref="AP16">
      <x:formula1>0</x:formula1>
      <x:formula2>1</x:formula2>
    </x:dataValidation>
    <x:dataValidation type="decimal" operator="between" sqref="AQ16">
      <x:formula1>0</x:formula1>
      <x:formula2>1</x:formula2>
    </x:dataValidation>
    <x:dataValidation type="decimal" operator="between" sqref="AR16">
      <x:formula1>0</x:formula1>
      <x:formula2>1</x:formula2>
    </x:dataValidation>
    <x:dataValidation type="decimal" operator="between" sqref="AS16">
      <x:formula1>0</x:formula1>
      <x:formula2>1</x:formula2>
    </x:dataValidation>
    <x:dataValidation type="decimal" operator="between" sqref="AT16">
      <x:formula1>0</x:formula1>
      <x:formula2>1</x:formula2>
    </x:dataValidation>
    <x:dataValidation type="decimal" operator="between" sqref="AU16">
      <x:formula1>0</x:formula1>
      <x:formula2>1</x:formula2>
    </x:dataValidation>
  </x:dataValidations>
  <x:pageMargins left="0.7" right="0.7" top="0.75" bottom="0.75" header="0.3" footer="0.3"/>
</x:worksheet>
</file>